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ean\Desktop\Finanzas\"/>
    </mc:Choice>
  </mc:AlternateContent>
  <xr:revisionPtr revIDLastSave="0" documentId="13_ncr:1_{E047CAA3-AD3D-4845-87BC-C24564520B9E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Dashboard" sheetId="1" r:id="rId1"/>
    <sheet name="Control de Cuotas" sheetId="4" r:id="rId2"/>
    <sheet name="Pagos de Cuotas" sheetId="5" r:id="rId3"/>
    <sheet name="Ingresos" sheetId="2" r:id="rId4"/>
    <sheet name="Gastos" sheetId="3" r:id="rId5"/>
    <sheet name="Resumen Mensu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3" l="1"/>
  <c r="E13" i="3"/>
  <c r="E4" i="3"/>
  <c r="B8" i="6"/>
  <c r="C8" i="6"/>
  <c r="C13" i="6"/>
  <c r="B13" i="6"/>
  <c r="C12" i="6"/>
  <c r="B12" i="6"/>
  <c r="C11" i="6"/>
  <c r="B11" i="6"/>
  <c r="C10" i="6"/>
  <c r="B10" i="6"/>
  <c r="C9" i="6"/>
  <c r="B9" i="6"/>
  <c r="C7" i="6"/>
  <c r="B7" i="6"/>
  <c r="C6" i="6"/>
  <c r="B6" i="6"/>
  <c r="C5" i="6"/>
  <c r="B5" i="6"/>
  <c r="C4" i="6"/>
  <c r="B4" i="6"/>
  <c r="C3" i="6"/>
  <c r="B3" i="6"/>
  <c r="C2" i="6"/>
  <c r="B2" i="6"/>
  <c r="K301" i="4"/>
  <c r="L301" i="4" s="1"/>
  <c r="M301" i="4" s="1"/>
  <c r="I301" i="4"/>
  <c r="J301" i="4" s="1"/>
  <c r="K300" i="4"/>
  <c r="L300" i="4" s="1"/>
  <c r="M300" i="4" s="1"/>
  <c r="I300" i="4"/>
  <c r="J300" i="4" s="1"/>
  <c r="K299" i="4"/>
  <c r="L299" i="4" s="1"/>
  <c r="M299" i="4" s="1"/>
  <c r="I299" i="4"/>
  <c r="J299" i="4" s="1"/>
  <c r="K298" i="4"/>
  <c r="L298" i="4" s="1"/>
  <c r="M298" i="4" s="1"/>
  <c r="I298" i="4"/>
  <c r="J298" i="4" s="1"/>
  <c r="K297" i="4"/>
  <c r="L297" i="4" s="1"/>
  <c r="M297" i="4" s="1"/>
  <c r="I297" i="4"/>
  <c r="J297" i="4" s="1"/>
  <c r="K296" i="4"/>
  <c r="L296" i="4" s="1"/>
  <c r="M296" i="4" s="1"/>
  <c r="I296" i="4"/>
  <c r="J296" i="4" s="1"/>
  <c r="K295" i="4"/>
  <c r="L295" i="4" s="1"/>
  <c r="M295" i="4" s="1"/>
  <c r="I295" i="4"/>
  <c r="J295" i="4" s="1"/>
  <c r="K294" i="4"/>
  <c r="L294" i="4" s="1"/>
  <c r="M294" i="4" s="1"/>
  <c r="I294" i="4"/>
  <c r="J294" i="4" s="1"/>
  <c r="K293" i="4"/>
  <c r="L293" i="4" s="1"/>
  <c r="M293" i="4" s="1"/>
  <c r="I293" i="4"/>
  <c r="J293" i="4" s="1"/>
  <c r="K292" i="4"/>
  <c r="L292" i="4" s="1"/>
  <c r="M292" i="4" s="1"/>
  <c r="I292" i="4"/>
  <c r="J292" i="4" s="1"/>
  <c r="K291" i="4"/>
  <c r="L291" i="4" s="1"/>
  <c r="M291" i="4" s="1"/>
  <c r="I291" i="4"/>
  <c r="J291" i="4" s="1"/>
  <c r="K290" i="4"/>
  <c r="L290" i="4" s="1"/>
  <c r="M290" i="4" s="1"/>
  <c r="I290" i="4"/>
  <c r="J290" i="4" s="1"/>
  <c r="K289" i="4"/>
  <c r="L289" i="4" s="1"/>
  <c r="M289" i="4" s="1"/>
  <c r="I289" i="4"/>
  <c r="J289" i="4" s="1"/>
  <c r="K288" i="4"/>
  <c r="L288" i="4" s="1"/>
  <c r="M288" i="4" s="1"/>
  <c r="I288" i="4"/>
  <c r="J288" i="4" s="1"/>
  <c r="K287" i="4"/>
  <c r="L287" i="4" s="1"/>
  <c r="M287" i="4" s="1"/>
  <c r="I287" i="4"/>
  <c r="J287" i="4" s="1"/>
  <c r="K286" i="4"/>
  <c r="L286" i="4" s="1"/>
  <c r="M286" i="4" s="1"/>
  <c r="I286" i="4"/>
  <c r="J286" i="4" s="1"/>
  <c r="K285" i="4"/>
  <c r="L285" i="4" s="1"/>
  <c r="M285" i="4" s="1"/>
  <c r="I285" i="4"/>
  <c r="J285" i="4" s="1"/>
  <c r="K284" i="4"/>
  <c r="L284" i="4" s="1"/>
  <c r="M284" i="4" s="1"/>
  <c r="I284" i="4"/>
  <c r="J284" i="4" s="1"/>
  <c r="K283" i="4"/>
  <c r="L283" i="4" s="1"/>
  <c r="M283" i="4" s="1"/>
  <c r="I283" i="4"/>
  <c r="J283" i="4" s="1"/>
  <c r="K282" i="4"/>
  <c r="L282" i="4" s="1"/>
  <c r="M282" i="4" s="1"/>
  <c r="I282" i="4"/>
  <c r="J282" i="4" s="1"/>
  <c r="K281" i="4"/>
  <c r="L281" i="4" s="1"/>
  <c r="M281" i="4" s="1"/>
  <c r="I281" i="4"/>
  <c r="J281" i="4" s="1"/>
  <c r="K280" i="4"/>
  <c r="L280" i="4" s="1"/>
  <c r="M280" i="4" s="1"/>
  <c r="I280" i="4"/>
  <c r="J280" i="4" s="1"/>
  <c r="K279" i="4"/>
  <c r="L279" i="4" s="1"/>
  <c r="M279" i="4" s="1"/>
  <c r="I279" i="4"/>
  <c r="J279" i="4" s="1"/>
  <c r="K278" i="4"/>
  <c r="L278" i="4" s="1"/>
  <c r="M278" i="4" s="1"/>
  <c r="I278" i="4"/>
  <c r="J278" i="4" s="1"/>
  <c r="K277" i="4"/>
  <c r="L277" i="4" s="1"/>
  <c r="M277" i="4" s="1"/>
  <c r="I277" i="4"/>
  <c r="J277" i="4" s="1"/>
  <c r="K276" i="4"/>
  <c r="L276" i="4" s="1"/>
  <c r="M276" i="4" s="1"/>
  <c r="I276" i="4"/>
  <c r="J276" i="4" s="1"/>
  <c r="K275" i="4"/>
  <c r="L275" i="4" s="1"/>
  <c r="M275" i="4" s="1"/>
  <c r="I275" i="4"/>
  <c r="J275" i="4" s="1"/>
  <c r="K274" i="4"/>
  <c r="L274" i="4" s="1"/>
  <c r="M274" i="4" s="1"/>
  <c r="I274" i="4"/>
  <c r="J274" i="4" s="1"/>
  <c r="K273" i="4"/>
  <c r="L273" i="4" s="1"/>
  <c r="M273" i="4" s="1"/>
  <c r="I273" i="4"/>
  <c r="J273" i="4" s="1"/>
  <c r="K272" i="4"/>
  <c r="L272" i="4" s="1"/>
  <c r="M272" i="4" s="1"/>
  <c r="I272" i="4"/>
  <c r="J272" i="4" s="1"/>
  <c r="K271" i="4"/>
  <c r="L271" i="4" s="1"/>
  <c r="M271" i="4" s="1"/>
  <c r="I271" i="4"/>
  <c r="J271" i="4" s="1"/>
  <c r="K270" i="4"/>
  <c r="L270" i="4" s="1"/>
  <c r="M270" i="4" s="1"/>
  <c r="I270" i="4"/>
  <c r="J270" i="4" s="1"/>
  <c r="K269" i="4"/>
  <c r="L269" i="4" s="1"/>
  <c r="M269" i="4" s="1"/>
  <c r="I269" i="4"/>
  <c r="J269" i="4" s="1"/>
  <c r="K268" i="4"/>
  <c r="L268" i="4" s="1"/>
  <c r="M268" i="4" s="1"/>
  <c r="I268" i="4"/>
  <c r="J268" i="4" s="1"/>
  <c r="K267" i="4"/>
  <c r="L267" i="4" s="1"/>
  <c r="M267" i="4" s="1"/>
  <c r="I267" i="4"/>
  <c r="J267" i="4" s="1"/>
  <c r="K266" i="4"/>
  <c r="L266" i="4" s="1"/>
  <c r="M266" i="4" s="1"/>
  <c r="I266" i="4"/>
  <c r="J266" i="4" s="1"/>
  <c r="K265" i="4"/>
  <c r="L265" i="4" s="1"/>
  <c r="M265" i="4" s="1"/>
  <c r="I265" i="4"/>
  <c r="J265" i="4" s="1"/>
  <c r="K264" i="4"/>
  <c r="L264" i="4" s="1"/>
  <c r="M264" i="4" s="1"/>
  <c r="I264" i="4"/>
  <c r="J264" i="4" s="1"/>
  <c r="K263" i="4"/>
  <c r="L263" i="4" s="1"/>
  <c r="M263" i="4" s="1"/>
  <c r="I263" i="4"/>
  <c r="J263" i="4" s="1"/>
  <c r="K262" i="4"/>
  <c r="L262" i="4" s="1"/>
  <c r="M262" i="4" s="1"/>
  <c r="I262" i="4"/>
  <c r="J262" i="4" s="1"/>
  <c r="K261" i="4"/>
  <c r="L261" i="4" s="1"/>
  <c r="M261" i="4" s="1"/>
  <c r="I261" i="4"/>
  <c r="J261" i="4" s="1"/>
  <c r="K260" i="4"/>
  <c r="L260" i="4" s="1"/>
  <c r="M260" i="4" s="1"/>
  <c r="I260" i="4"/>
  <c r="J260" i="4" s="1"/>
  <c r="K259" i="4"/>
  <c r="L259" i="4" s="1"/>
  <c r="M259" i="4" s="1"/>
  <c r="I259" i="4"/>
  <c r="J259" i="4" s="1"/>
  <c r="K258" i="4"/>
  <c r="L258" i="4" s="1"/>
  <c r="M258" i="4" s="1"/>
  <c r="I258" i="4"/>
  <c r="J258" i="4" s="1"/>
  <c r="K257" i="4"/>
  <c r="L257" i="4" s="1"/>
  <c r="M257" i="4" s="1"/>
  <c r="I257" i="4"/>
  <c r="J257" i="4" s="1"/>
  <c r="K256" i="4"/>
  <c r="L256" i="4" s="1"/>
  <c r="M256" i="4" s="1"/>
  <c r="I256" i="4"/>
  <c r="J256" i="4" s="1"/>
  <c r="K255" i="4"/>
  <c r="L255" i="4" s="1"/>
  <c r="M255" i="4" s="1"/>
  <c r="I255" i="4"/>
  <c r="J255" i="4" s="1"/>
  <c r="K254" i="4"/>
  <c r="L254" i="4" s="1"/>
  <c r="M254" i="4" s="1"/>
  <c r="I254" i="4"/>
  <c r="J254" i="4" s="1"/>
  <c r="K253" i="4"/>
  <c r="L253" i="4" s="1"/>
  <c r="M253" i="4" s="1"/>
  <c r="I253" i="4"/>
  <c r="J253" i="4" s="1"/>
  <c r="K252" i="4"/>
  <c r="L252" i="4" s="1"/>
  <c r="M252" i="4" s="1"/>
  <c r="I252" i="4"/>
  <c r="J252" i="4" s="1"/>
  <c r="K251" i="4"/>
  <c r="L251" i="4" s="1"/>
  <c r="M251" i="4" s="1"/>
  <c r="I251" i="4"/>
  <c r="J251" i="4" s="1"/>
  <c r="K250" i="4"/>
  <c r="L250" i="4" s="1"/>
  <c r="M250" i="4" s="1"/>
  <c r="I250" i="4"/>
  <c r="J250" i="4" s="1"/>
  <c r="K249" i="4"/>
  <c r="L249" i="4" s="1"/>
  <c r="M249" i="4" s="1"/>
  <c r="I249" i="4"/>
  <c r="J249" i="4" s="1"/>
  <c r="K248" i="4"/>
  <c r="L248" i="4" s="1"/>
  <c r="M248" i="4" s="1"/>
  <c r="I248" i="4"/>
  <c r="J248" i="4" s="1"/>
  <c r="K247" i="4"/>
  <c r="L247" i="4" s="1"/>
  <c r="M247" i="4" s="1"/>
  <c r="I247" i="4"/>
  <c r="J247" i="4" s="1"/>
  <c r="K246" i="4"/>
  <c r="L246" i="4" s="1"/>
  <c r="M246" i="4" s="1"/>
  <c r="I246" i="4"/>
  <c r="J246" i="4" s="1"/>
  <c r="K245" i="4"/>
  <c r="L245" i="4" s="1"/>
  <c r="M245" i="4" s="1"/>
  <c r="I245" i="4"/>
  <c r="J245" i="4" s="1"/>
  <c r="K244" i="4"/>
  <c r="L244" i="4" s="1"/>
  <c r="M244" i="4" s="1"/>
  <c r="I244" i="4"/>
  <c r="J244" i="4" s="1"/>
  <c r="K243" i="4"/>
  <c r="L243" i="4" s="1"/>
  <c r="M243" i="4" s="1"/>
  <c r="I243" i="4"/>
  <c r="J243" i="4" s="1"/>
  <c r="K242" i="4"/>
  <c r="L242" i="4" s="1"/>
  <c r="M242" i="4" s="1"/>
  <c r="I242" i="4"/>
  <c r="J242" i="4" s="1"/>
  <c r="K241" i="4"/>
  <c r="L241" i="4" s="1"/>
  <c r="M241" i="4" s="1"/>
  <c r="I241" i="4"/>
  <c r="J241" i="4" s="1"/>
  <c r="K240" i="4"/>
  <c r="L240" i="4" s="1"/>
  <c r="M240" i="4" s="1"/>
  <c r="I240" i="4"/>
  <c r="J240" i="4" s="1"/>
  <c r="K239" i="4"/>
  <c r="L239" i="4" s="1"/>
  <c r="M239" i="4" s="1"/>
  <c r="I239" i="4"/>
  <c r="J239" i="4" s="1"/>
  <c r="K238" i="4"/>
  <c r="L238" i="4" s="1"/>
  <c r="M238" i="4" s="1"/>
  <c r="I238" i="4"/>
  <c r="J238" i="4" s="1"/>
  <c r="K237" i="4"/>
  <c r="L237" i="4" s="1"/>
  <c r="M237" i="4" s="1"/>
  <c r="I237" i="4"/>
  <c r="J237" i="4" s="1"/>
  <c r="K236" i="4"/>
  <c r="L236" i="4" s="1"/>
  <c r="M236" i="4" s="1"/>
  <c r="I236" i="4"/>
  <c r="J236" i="4" s="1"/>
  <c r="K235" i="4"/>
  <c r="L235" i="4" s="1"/>
  <c r="M235" i="4" s="1"/>
  <c r="I235" i="4"/>
  <c r="J235" i="4" s="1"/>
  <c r="K234" i="4"/>
  <c r="L234" i="4" s="1"/>
  <c r="M234" i="4" s="1"/>
  <c r="I234" i="4"/>
  <c r="J234" i="4" s="1"/>
  <c r="K233" i="4"/>
  <c r="L233" i="4" s="1"/>
  <c r="M233" i="4" s="1"/>
  <c r="I233" i="4"/>
  <c r="J233" i="4" s="1"/>
  <c r="K232" i="4"/>
  <c r="L232" i="4" s="1"/>
  <c r="M232" i="4" s="1"/>
  <c r="I232" i="4"/>
  <c r="J232" i="4" s="1"/>
  <c r="K231" i="4"/>
  <c r="L231" i="4" s="1"/>
  <c r="M231" i="4" s="1"/>
  <c r="I231" i="4"/>
  <c r="J231" i="4" s="1"/>
  <c r="K230" i="4"/>
  <c r="L230" i="4" s="1"/>
  <c r="M230" i="4" s="1"/>
  <c r="I230" i="4"/>
  <c r="J230" i="4" s="1"/>
  <c r="K229" i="4"/>
  <c r="L229" i="4" s="1"/>
  <c r="M229" i="4" s="1"/>
  <c r="I229" i="4"/>
  <c r="J229" i="4" s="1"/>
  <c r="K228" i="4"/>
  <c r="L228" i="4" s="1"/>
  <c r="M228" i="4" s="1"/>
  <c r="I228" i="4"/>
  <c r="J228" i="4" s="1"/>
  <c r="K227" i="4"/>
  <c r="L227" i="4" s="1"/>
  <c r="M227" i="4" s="1"/>
  <c r="I227" i="4"/>
  <c r="J227" i="4" s="1"/>
  <c r="K226" i="4"/>
  <c r="L226" i="4" s="1"/>
  <c r="M226" i="4" s="1"/>
  <c r="I226" i="4"/>
  <c r="J226" i="4" s="1"/>
  <c r="K225" i="4"/>
  <c r="L225" i="4" s="1"/>
  <c r="M225" i="4" s="1"/>
  <c r="I225" i="4"/>
  <c r="J225" i="4" s="1"/>
  <c r="K224" i="4"/>
  <c r="L224" i="4" s="1"/>
  <c r="M224" i="4" s="1"/>
  <c r="I224" i="4"/>
  <c r="J224" i="4" s="1"/>
  <c r="K223" i="4"/>
  <c r="L223" i="4" s="1"/>
  <c r="M223" i="4" s="1"/>
  <c r="I223" i="4"/>
  <c r="J223" i="4" s="1"/>
  <c r="K222" i="4"/>
  <c r="L222" i="4" s="1"/>
  <c r="M222" i="4" s="1"/>
  <c r="I222" i="4"/>
  <c r="J222" i="4" s="1"/>
  <c r="K221" i="4"/>
  <c r="L221" i="4" s="1"/>
  <c r="M221" i="4" s="1"/>
  <c r="I221" i="4"/>
  <c r="J221" i="4" s="1"/>
  <c r="K220" i="4"/>
  <c r="L220" i="4" s="1"/>
  <c r="M220" i="4" s="1"/>
  <c r="I220" i="4"/>
  <c r="J220" i="4" s="1"/>
  <c r="K219" i="4"/>
  <c r="L219" i="4" s="1"/>
  <c r="M219" i="4" s="1"/>
  <c r="I219" i="4"/>
  <c r="J219" i="4" s="1"/>
  <c r="K218" i="4"/>
  <c r="L218" i="4" s="1"/>
  <c r="M218" i="4" s="1"/>
  <c r="I218" i="4"/>
  <c r="J218" i="4" s="1"/>
  <c r="K217" i="4"/>
  <c r="L217" i="4" s="1"/>
  <c r="M217" i="4" s="1"/>
  <c r="I217" i="4"/>
  <c r="J217" i="4" s="1"/>
  <c r="K216" i="4"/>
  <c r="L216" i="4" s="1"/>
  <c r="M216" i="4" s="1"/>
  <c r="I216" i="4"/>
  <c r="J216" i="4" s="1"/>
  <c r="K215" i="4"/>
  <c r="L215" i="4" s="1"/>
  <c r="M215" i="4" s="1"/>
  <c r="I215" i="4"/>
  <c r="J215" i="4" s="1"/>
  <c r="K214" i="4"/>
  <c r="L214" i="4" s="1"/>
  <c r="M214" i="4" s="1"/>
  <c r="I214" i="4"/>
  <c r="J214" i="4" s="1"/>
  <c r="K213" i="4"/>
  <c r="L213" i="4" s="1"/>
  <c r="M213" i="4" s="1"/>
  <c r="I213" i="4"/>
  <c r="J213" i="4" s="1"/>
  <c r="K212" i="4"/>
  <c r="L212" i="4" s="1"/>
  <c r="M212" i="4" s="1"/>
  <c r="I212" i="4"/>
  <c r="J212" i="4" s="1"/>
  <c r="K211" i="4"/>
  <c r="L211" i="4" s="1"/>
  <c r="M211" i="4" s="1"/>
  <c r="I211" i="4"/>
  <c r="J211" i="4" s="1"/>
  <c r="K210" i="4"/>
  <c r="L210" i="4" s="1"/>
  <c r="M210" i="4" s="1"/>
  <c r="I210" i="4"/>
  <c r="J210" i="4" s="1"/>
  <c r="K209" i="4"/>
  <c r="L209" i="4" s="1"/>
  <c r="M209" i="4" s="1"/>
  <c r="I209" i="4"/>
  <c r="J209" i="4" s="1"/>
  <c r="K208" i="4"/>
  <c r="L208" i="4" s="1"/>
  <c r="M208" i="4" s="1"/>
  <c r="I208" i="4"/>
  <c r="J208" i="4" s="1"/>
  <c r="K207" i="4"/>
  <c r="L207" i="4" s="1"/>
  <c r="M207" i="4" s="1"/>
  <c r="I207" i="4"/>
  <c r="J207" i="4" s="1"/>
  <c r="K206" i="4"/>
  <c r="L206" i="4" s="1"/>
  <c r="M206" i="4" s="1"/>
  <c r="I206" i="4"/>
  <c r="J206" i="4" s="1"/>
  <c r="K205" i="4"/>
  <c r="L205" i="4" s="1"/>
  <c r="M205" i="4" s="1"/>
  <c r="I205" i="4"/>
  <c r="J205" i="4" s="1"/>
  <c r="K204" i="4"/>
  <c r="L204" i="4" s="1"/>
  <c r="M204" i="4" s="1"/>
  <c r="I204" i="4"/>
  <c r="J204" i="4" s="1"/>
  <c r="K203" i="4"/>
  <c r="L203" i="4" s="1"/>
  <c r="M203" i="4" s="1"/>
  <c r="I203" i="4"/>
  <c r="J203" i="4" s="1"/>
  <c r="K202" i="4"/>
  <c r="L202" i="4" s="1"/>
  <c r="M202" i="4" s="1"/>
  <c r="I202" i="4"/>
  <c r="J202" i="4" s="1"/>
  <c r="K201" i="4"/>
  <c r="L201" i="4" s="1"/>
  <c r="M201" i="4" s="1"/>
  <c r="I201" i="4"/>
  <c r="J201" i="4" s="1"/>
  <c r="K200" i="4"/>
  <c r="L200" i="4" s="1"/>
  <c r="M200" i="4" s="1"/>
  <c r="I200" i="4"/>
  <c r="J200" i="4" s="1"/>
  <c r="K199" i="4"/>
  <c r="L199" i="4" s="1"/>
  <c r="M199" i="4" s="1"/>
  <c r="I199" i="4"/>
  <c r="J199" i="4" s="1"/>
  <c r="K198" i="4"/>
  <c r="L198" i="4" s="1"/>
  <c r="M198" i="4" s="1"/>
  <c r="I198" i="4"/>
  <c r="J198" i="4" s="1"/>
  <c r="K197" i="4"/>
  <c r="L197" i="4" s="1"/>
  <c r="M197" i="4" s="1"/>
  <c r="I197" i="4"/>
  <c r="J197" i="4" s="1"/>
  <c r="K196" i="4"/>
  <c r="L196" i="4" s="1"/>
  <c r="M196" i="4" s="1"/>
  <c r="I196" i="4"/>
  <c r="J196" i="4" s="1"/>
  <c r="K195" i="4"/>
  <c r="L195" i="4" s="1"/>
  <c r="M195" i="4" s="1"/>
  <c r="I195" i="4"/>
  <c r="J195" i="4" s="1"/>
  <c r="K194" i="4"/>
  <c r="L194" i="4" s="1"/>
  <c r="M194" i="4" s="1"/>
  <c r="I194" i="4"/>
  <c r="J194" i="4" s="1"/>
  <c r="K193" i="4"/>
  <c r="L193" i="4" s="1"/>
  <c r="M193" i="4" s="1"/>
  <c r="I193" i="4"/>
  <c r="J193" i="4" s="1"/>
  <c r="K192" i="4"/>
  <c r="L192" i="4" s="1"/>
  <c r="M192" i="4" s="1"/>
  <c r="I192" i="4"/>
  <c r="J192" i="4" s="1"/>
  <c r="K191" i="4"/>
  <c r="L191" i="4" s="1"/>
  <c r="M191" i="4" s="1"/>
  <c r="I191" i="4"/>
  <c r="J191" i="4" s="1"/>
  <c r="K190" i="4"/>
  <c r="L190" i="4" s="1"/>
  <c r="M190" i="4" s="1"/>
  <c r="I190" i="4"/>
  <c r="J190" i="4" s="1"/>
  <c r="K189" i="4"/>
  <c r="L189" i="4" s="1"/>
  <c r="M189" i="4" s="1"/>
  <c r="I189" i="4"/>
  <c r="J189" i="4" s="1"/>
  <c r="K188" i="4"/>
  <c r="L188" i="4" s="1"/>
  <c r="M188" i="4" s="1"/>
  <c r="I188" i="4"/>
  <c r="J188" i="4" s="1"/>
  <c r="K187" i="4"/>
  <c r="L187" i="4" s="1"/>
  <c r="M187" i="4" s="1"/>
  <c r="I187" i="4"/>
  <c r="J187" i="4" s="1"/>
  <c r="K186" i="4"/>
  <c r="L186" i="4" s="1"/>
  <c r="M186" i="4" s="1"/>
  <c r="I186" i="4"/>
  <c r="J186" i="4" s="1"/>
  <c r="K185" i="4"/>
  <c r="L185" i="4" s="1"/>
  <c r="M185" i="4" s="1"/>
  <c r="I185" i="4"/>
  <c r="J185" i="4" s="1"/>
  <c r="K184" i="4"/>
  <c r="L184" i="4" s="1"/>
  <c r="M184" i="4" s="1"/>
  <c r="I184" i="4"/>
  <c r="J184" i="4" s="1"/>
  <c r="K183" i="4"/>
  <c r="L183" i="4" s="1"/>
  <c r="M183" i="4" s="1"/>
  <c r="I183" i="4"/>
  <c r="J183" i="4" s="1"/>
  <c r="K182" i="4"/>
  <c r="L182" i="4" s="1"/>
  <c r="M182" i="4" s="1"/>
  <c r="I182" i="4"/>
  <c r="J182" i="4" s="1"/>
  <c r="K181" i="4"/>
  <c r="L181" i="4" s="1"/>
  <c r="M181" i="4" s="1"/>
  <c r="I181" i="4"/>
  <c r="J181" i="4" s="1"/>
  <c r="K180" i="4"/>
  <c r="L180" i="4" s="1"/>
  <c r="M180" i="4" s="1"/>
  <c r="I180" i="4"/>
  <c r="J180" i="4" s="1"/>
  <c r="K179" i="4"/>
  <c r="L179" i="4" s="1"/>
  <c r="M179" i="4" s="1"/>
  <c r="I179" i="4"/>
  <c r="J179" i="4" s="1"/>
  <c r="K178" i="4"/>
  <c r="L178" i="4" s="1"/>
  <c r="M178" i="4" s="1"/>
  <c r="I178" i="4"/>
  <c r="J178" i="4" s="1"/>
  <c r="K177" i="4"/>
  <c r="L177" i="4" s="1"/>
  <c r="M177" i="4" s="1"/>
  <c r="I177" i="4"/>
  <c r="J177" i="4" s="1"/>
  <c r="K176" i="4"/>
  <c r="L176" i="4" s="1"/>
  <c r="M176" i="4" s="1"/>
  <c r="I176" i="4"/>
  <c r="J176" i="4" s="1"/>
  <c r="K175" i="4"/>
  <c r="L175" i="4" s="1"/>
  <c r="M175" i="4" s="1"/>
  <c r="I175" i="4"/>
  <c r="J175" i="4" s="1"/>
  <c r="K174" i="4"/>
  <c r="L174" i="4" s="1"/>
  <c r="M174" i="4" s="1"/>
  <c r="I174" i="4"/>
  <c r="J174" i="4" s="1"/>
  <c r="K173" i="4"/>
  <c r="L173" i="4" s="1"/>
  <c r="M173" i="4" s="1"/>
  <c r="I173" i="4"/>
  <c r="J173" i="4" s="1"/>
  <c r="K172" i="4"/>
  <c r="L172" i="4" s="1"/>
  <c r="M172" i="4" s="1"/>
  <c r="I172" i="4"/>
  <c r="J172" i="4" s="1"/>
  <c r="K171" i="4"/>
  <c r="L171" i="4" s="1"/>
  <c r="M171" i="4" s="1"/>
  <c r="I171" i="4"/>
  <c r="J171" i="4" s="1"/>
  <c r="K170" i="4"/>
  <c r="L170" i="4" s="1"/>
  <c r="M170" i="4" s="1"/>
  <c r="I170" i="4"/>
  <c r="J170" i="4" s="1"/>
  <c r="K169" i="4"/>
  <c r="L169" i="4" s="1"/>
  <c r="M169" i="4" s="1"/>
  <c r="I169" i="4"/>
  <c r="J169" i="4" s="1"/>
  <c r="K168" i="4"/>
  <c r="L168" i="4" s="1"/>
  <c r="M168" i="4" s="1"/>
  <c r="I168" i="4"/>
  <c r="J168" i="4" s="1"/>
  <c r="K167" i="4"/>
  <c r="L167" i="4" s="1"/>
  <c r="M167" i="4" s="1"/>
  <c r="I167" i="4"/>
  <c r="J167" i="4" s="1"/>
  <c r="K166" i="4"/>
  <c r="L166" i="4" s="1"/>
  <c r="M166" i="4" s="1"/>
  <c r="I166" i="4"/>
  <c r="J166" i="4" s="1"/>
  <c r="K165" i="4"/>
  <c r="L165" i="4" s="1"/>
  <c r="M165" i="4" s="1"/>
  <c r="I165" i="4"/>
  <c r="J165" i="4" s="1"/>
  <c r="K164" i="4"/>
  <c r="L164" i="4" s="1"/>
  <c r="M164" i="4" s="1"/>
  <c r="I164" i="4"/>
  <c r="J164" i="4" s="1"/>
  <c r="K163" i="4"/>
  <c r="L163" i="4" s="1"/>
  <c r="M163" i="4" s="1"/>
  <c r="I163" i="4"/>
  <c r="J163" i="4" s="1"/>
  <c r="K162" i="4"/>
  <c r="L162" i="4" s="1"/>
  <c r="M162" i="4" s="1"/>
  <c r="I162" i="4"/>
  <c r="J162" i="4" s="1"/>
  <c r="K161" i="4"/>
  <c r="L161" i="4" s="1"/>
  <c r="M161" i="4" s="1"/>
  <c r="I161" i="4"/>
  <c r="J161" i="4" s="1"/>
  <c r="K160" i="4"/>
  <c r="L160" i="4" s="1"/>
  <c r="M160" i="4" s="1"/>
  <c r="I160" i="4"/>
  <c r="J160" i="4" s="1"/>
  <c r="K159" i="4"/>
  <c r="L159" i="4" s="1"/>
  <c r="M159" i="4" s="1"/>
  <c r="I159" i="4"/>
  <c r="J159" i="4" s="1"/>
  <c r="K158" i="4"/>
  <c r="L158" i="4" s="1"/>
  <c r="M158" i="4" s="1"/>
  <c r="I158" i="4"/>
  <c r="J158" i="4" s="1"/>
  <c r="K157" i="4"/>
  <c r="L157" i="4" s="1"/>
  <c r="M157" i="4" s="1"/>
  <c r="I157" i="4"/>
  <c r="J157" i="4" s="1"/>
  <c r="K156" i="4"/>
  <c r="L156" i="4" s="1"/>
  <c r="M156" i="4" s="1"/>
  <c r="I156" i="4"/>
  <c r="J156" i="4" s="1"/>
  <c r="K155" i="4"/>
  <c r="L155" i="4" s="1"/>
  <c r="M155" i="4" s="1"/>
  <c r="I155" i="4"/>
  <c r="J155" i="4" s="1"/>
  <c r="K154" i="4"/>
  <c r="L154" i="4" s="1"/>
  <c r="M154" i="4" s="1"/>
  <c r="I154" i="4"/>
  <c r="J154" i="4" s="1"/>
  <c r="K153" i="4"/>
  <c r="L153" i="4" s="1"/>
  <c r="M153" i="4" s="1"/>
  <c r="I153" i="4"/>
  <c r="J153" i="4" s="1"/>
  <c r="K152" i="4"/>
  <c r="L152" i="4" s="1"/>
  <c r="M152" i="4" s="1"/>
  <c r="I152" i="4"/>
  <c r="J152" i="4" s="1"/>
  <c r="K151" i="4"/>
  <c r="L151" i="4" s="1"/>
  <c r="M151" i="4" s="1"/>
  <c r="I151" i="4"/>
  <c r="J151" i="4" s="1"/>
  <c r="K150" i="4"/>
  <c r="L150" i="4" s="1"/>
  <c r="M150" i="4" s="1"/>
  <c r="I150" i="4"/>
  <c r="J150" i="4" s="1"/>
  <c r="K149" i="4"/>
  <c r="L149" i="4" s="1"/>
  <c r="M149" i="4" s="1"/>
  <c r="I149" i="4"/>
  <c r="J149" i="4" s="1"/>
  <c r="K148" i="4"/>
  <c r="L148" i="4" s="1"/>
  <c r="M148" i="4" s="1"/>
  <c r="I148" i="4"/>
  <c r="J148" i="4" s="1"/>
  <c r="K147" i="4"/>
  <c r="L147" i="4" s="1"/>
  <c r="M147" i="4" s="1"/>
  <c r="I147" i="4"/>
  <c r="J147" i="4" s="1"/>
  <c r="K146" i="4"/>
  <c r="L146" i="4" s="1"/>
  <c r="M146" i="4" s="1"/>
  <c r="I146" i="4"/>
  <c r="J146" i="4" s="1"/>
  <c r="K145" i="4"/>
  <c r="L145" i="4" s="1"/>
  <c r="M145" i="4" s="1"/>
  <c r="I145" i="4"/>
  <c r="J145" i="4" s="1"/>
  <c r="K144" i="4"/>
  <c r="L144" i="4" s="1"/>
  <c r="M144" i="4" s="1"/>
  <c r="I144" i="4"/>
  <c r="J144" i="4" s="1"/>
  <c r="K143" i="4"/>
  <c r="L143" i="4" s="1"/>
  <c r="M143" i="4" s="1"/>
  <c r="I143" i="4"/>
  <c r="J143" i="4" s="1"/>
  <c r="K142" i="4"/>
  <c r="L142" i="4" s="1"/>
  <c r="M142" i="4" s="1"/>
  <c r="I142" i="4"/>
  <c r="J142" i="4" s="1"/>
  <c r="K141" i="4"/>
  <c r="L141" i="4" s="1"/>
  <c r="M141" i="4" s="1"/>
  <c r="I141" i="4"/>
  <c r="J141" i="4" s="1"/>
  <c r="K140" i="4"/>
  <c r="L140" i="4" s="1"/>
  <c r="M140" i="4" s="1"/>
  <c r="I140" i="4"/>
  <c r="J140" i="4" s="1"/>
  <c r="K139" i="4"/>
  <c r="L139" i="4" s="1"/>
  <c r="M139" i="4" s="1"/>
  <c r="I139" i="4"/>
  <c r="J139" i="4" s="1"/>
  <c r="K138" i="4"/>
  <c r="L138" i="4" s="1"/>
  <c r="M138" i="4" s="1"/>
  <c r="I138" i="4"/>
  <c r="J138" i="4" s="1"/>
  <c r="K137" i="4"/>
  <c r="L137" i="4" s="1"/>
  <c r="M137" i="4" s="1"/>
  <c r="I137" i="4"/>
  <c r="J137" i="4" s="1"/>
  <c r="K136" i="4"/>
  <c r="L136" i="4" s="1"/>
  <c r="M136" i="4" s="1"/>
  <c r="I136" i="4"/>
  <c r="J136" i="4" s="1"/>
  <c r="K135" i="4"/>
  <c r="L135" i="4" s="1"/>
  <c r="M135" i="4" s="1"/>
  <c r="I135" i="4"/>
  <c r="J135" i="4" s="1"/>
  <c r="K134" i="4"/>
  <c r="L134" i="4" s="1"/>
  <c r="M134" i="4" s="1"/>
  <c r="I134" i="4"/>
  <c r="J134" i="4" s="1"/>
  <c r="K133" i="4"/>
  <c r="L133" i="4" s="1"/>
  <c r="M133" i="4" s="1"/>
  <c r="I133" i="4"/>
  <c r="J133" i="4" s="1"/>
  <c r="K132" i="4"/>
  <c r="L132" i="4" s="1"/>
  <c r="M132" i="4" s="1"/>
  <c r="I132" i="4"/>
  <c r="J132" i="4" s="1"/>
  <c r="K131" i="4"/>
  <c r="L131" i="4" s="1"/>
  <c r="M131" i="4" s="1"/>
  <c r="I131" i="4"/>
  <c r="J131" i="4" s="1"/>
  <c r="K130" i="4"/>
  <c r="L130" i="4" s="1"/>
  <c r="M130" i="4" s="1"/>
  <c r="I130" i="4"/>
  <c r="J130" i="4" s="1"/>
  <c r="K129" i="4"/>
  <c r="L129" i="4" s="1"/>
  <c r="M129" i="4" s="1"/>
  <c r="I129" i="4"/>
  <c r="J129" i="4" s="1"/>
  <c r="K128" i="4"/>
  <c r="L128" i="4" s="1"/>
  <c r="M128" i="4" s="1"/>
  <c r="I128" i="4"/>
  <c r="J128" i="4" s="1"/>
  <c r="K127" i="4"/>
  <c r="L127" i="4" s="1"/>
  <c r="M127" i="4" s="1"/>
  <c r="I127" i="4"/>
  <c r="J127" i="4" s="1"/>
  <c r="K126" i="4"/>
  <c r="L126" i="4" s="1"/>
  <c r="M126" i="4" s="1"/>
  <c r="J126" i="4"/>
  <c r="I126" i="4"/>
  <c r="K125" i="4"/>
  <c r="L125" i="4" s="1"/>
  <c r="M125" i="4" s="1"/>
  <c r="I125" i="4"/>
  <c r="J125" i="4" s="1"/>
  <c r="K124" i="4"/>
  <c r="L124" i="4" s="1"/>
  <c r="M124" i="4" s="1"/>
  <c r="I124" i="4"/>
  <c r="J124" i="4" s="1"/>
  <c r="K123" i="4"/>
  <c r="L123" i="4" s="1"/>
  <c r="M123" i="4" s="1"/>
  <c r="I123" i="4"/>
  <c r="J123" i="4" s="1"/>
  <c r="K122" i="4"/>
  <c r="L122" i="4" s="1"/>
  <c r="M122" i="4" s="1"/>
  <c r="I122" i="4"/>
  <c r="J122" i="4" s="1"/>
  <c r="K121" i="4"/>
  <c r="L121" i="4" s="1"/>
  <c r="M121" i="4" s="1"/>
  <c r="I121" i="4"/>
  <c r="J121" i="4" s="1"/>
  <c r="K120" i="4"/>
  <c r="L120" i="4" s="1"/>
  <c r="M120" i="4" s="1"/>
  <c r="I120" i="4"/>
  <c r="J120" i="4" s="1"/>
  <c r="K119" i="4"/>
  <c r="L119" i="4" s="1"/>
  <c r="M119" i="4" s="1"/>
  <c r="I119" i="4"/>
  <c r="J119" i="4" s="1"/>
  <c r="K118" i="4"/>
  <c r="L118" i="4" s="1"/>
  <c r="M118" i="4" s="1"/>
  <c r="I118" i="4"/>
  <c r="J118" i="4" s="1"/>
  <c r="K117" i="4"/>
  <c r="L117" i="4" s="1"/>
  <c r="M117" i="4" s="1"/>
  <c r="I117" i="4"/>
  <c r="J117" i="4" s="1"/>
  <c r="K116" i="4"/>
  <c r="L116" i="4" s="1"/>
  <c r="M116" i="4" s="1"/>
  <c r="I116" i="4"/>
  <c r="J116" i="4" s="1"/>
  <c r="K115" i="4"/>
  <c r="L115" i="4" s="1"/>
  <c r="M115" i="4" s="1"/>
  <c r="I115" i="4"/>
  <c r="J115" i="4" s="1"/>
  <c r="K114" i="4"/>
  <c r="L114" i="4" s="1"/>
  <c r="M114" i="4" s="1"/>
  <c r="I114" i="4"/>
  <c r="J114" i="4" s="1"/>
  <c r="K113" i="4"/>
  <c r="L113" i="4" s="1"/>
  <c r="M113" i="4" s="1"/>
  <c r="I113" i="4"/>
  <c r="J113" i="4" s="1"/>
  <c r="K112" i="4"/>
  <c r="L112" i="4" s="1"/>
  <c r="M112" i="4" s="1"/>
  <c r="I112" i="4"/>
  <c r="J112" i="4" s="1"/>
  <c r="K111" i="4"/>
  <c r="L111" i="4" s="1"/>
  <c r="M111" i="4" s="1"/>
  <c r="I111" i="4"/>
  <c r="J111" i="4" s="1"/>
  <c r="K110" i="4"/>
  <c r="L110" i="4" s="1"/>
  <c r="M110" i="4" s="1"/>
  <c r="I110" i="4"/>
  <c r="J110" i="4" s="1"/>
  <c r="K109" i="4"/>
  <c r="L109" i="4" s="1"/>
  <c r="M109" i="4" s="1"/>
  <c r="I109" i="4"/>
  <c r="J109" i="4" s="1"/>
  <c r="K108" i="4"/>
  <c r="L108" i="4" s="1"/>
  <c r="M108" i="4" s="1"/>
  <c r="I108" i="4"/>
  <c r="J108" i="4" s="1"/>
  <c r="K107" i="4"/>
  <c r="L107" i="4" s="1"/>
  <c r="M107" i="4" s="1"/>
  <c r="I107" i="4"/>
  <c r="J107" i="4" s="1"/>
  <c r="K106" i="4"/>
  <c r="L106" i="4" s="1"/>
  <c r="M106" i="4" s="1"/>
  <c r="I106" i="4"/>
  <c r="J106" i="4" s="1"/>
  <c r="K105" i="4"/>
  <c r="L105" i="4" s="1"/>
  <c r="M105" i="4" s="1"/>
  <c r="I105" i="4"/>
  <c r="J105" i="4" s="1"/>
  <c r="K104" i="4"/>
  <c r="L104" i="4" s="1"/>
  <c r="M104" i="4" s="1"/>
  <c r="I104" i="4"/>
  <c r="J104" i="4" s="1"/>
  <c r="K103" i="4"/>
  <c r="L103" i="4" s="1"/>
  <c r="M103" i="4" s="1"/>
  <c r="I103" i="4"/>
  <c r="J103" i="4" s="1"/>
  <c r="K102" i="4"/>
  <c r="L102" i="4" s="1"/>
  <c r="M102" i="4" s="1"/>
  <c r="I102" i="4"/>
  <c r="J102" i="4" s="1"/>
  <c r="K101" i="4"/>
  <c r="L101" i="4" s="1"/>
  <c r="M101" i="4" s="1"/>
  <c r="I101" i="4"/>
  <c r="J101" i="4" s="1"/>
  <c r="K100" i="4"/>
  <c r="L100" i="4" s="1"/>
  <c r="M100" i="4" s="1"/>
  <c r="I100" i="4"/>
  <c r="J100" i="4" s="1"/>
  <c r="K99" i="4"/>
  <c r="L99" i="4" s="1"/>
  <c r="M99" i="4" s="1"/>
  <c r="I99" i="4"/>
  <c r="J99" i="4" s="1"/>
  <c r="K98" i="4"/>
  <c r="L98" i="4" s="1"/>
  <c r="M98" i="4" s="1"/>
  <c r="I98" i="4"/>
  <c r="J98" i="4" s="1"/>
  <c r="K97" i="4"/>
  <c r="L97" i="4" s="1"/>
  <c r="M97" i="4" s="1"/>
  <c r="I97" i="4"/>
  <c r="J97" i="4" s="1"/>
  <c r="K96" i="4"/>
  <c r="L96" i="4" s="1"/>
  <c r="M96" i="4" s="1"/>
  <c r="I96" i="4"/>
  <c r="J96" i="4" s="1"/>
  <c r="K95" i="4"/>
  <c r="L95" i="4" s="1"/>
  <c r="M95" i="4" s="1"/>
  <c r="I95" i="4"/>
  <c r="J95" i="4" s="1"/>
  <c r="K94" i="4"/>
  <c r="L94" i="4" s="1"/>
  <c r="M94" i="4" s="1"/>
  <c r="I94" i="4"/>
  <c r="J94" i="4" s="1"/>
  <c r="K93" i="4"/>
  <c r="L93" i="4" s="1"/>
  <c r="M93" i="4" s="1"/>
  <c r="I93" i="4"/>
  <c r="J93" i="4" s="1"/>
  <c r="K92" i="4"/>
  <c r="L92" i="4" s="1"/>
  <c r="M92" i="4" s="1"/>
  <c r="I92" i="4"/>
  <c r="J92" i="4" s="1"/>
  <c r="K91" i="4"/>
  <c r="L91" i="4" s="1"/>
  <c r="M91" i="4" s="1"/>
  <c r="I91" i="4"/>
  <c r="J91" i="4" s="1"/>
  <c r="K90" i="4"/>
  <c r="L90" i="4" s="1"/>
  <c r="M90" i="4" s="1"/>
  <c r="I90" i="4"/>
  <c r="J90" i="4" s="1"/>
  <c r="K89" i="4"/>
  <c r="L89" i="4" s="1"/>
  <c r="M89" i="4" s="1"/>
  <c r="I89" i="4"/>
  <c r="J89" i="4" s="1"/>
  <c r="K88" i="4"/>
  <c r="L88" i="4" s="1"/>
  <c r="M88" i="4" s="1"/>
  <c r="I88" i="4"/>
  <c r="J88" i="4" s="1"/>
  <c r="K87" i="4"/>
  <c r="L87" i="4" s="1"/>
  <c r="M87" i="4" s="1"/>
  <c r="I87" i="4"/>
  <c r="J87" i="4" s="1"/>
  <c r="K86" i="4"/>
  <c r="L86" i="4" s="1"/>
  <c r="M86" i="4" s="1"/>
  <c r="I86" i="4"/>
  <c r="J86" i="4" s="1"/>
  <c r="K85" i="4"/>
  <c r="L85" i="4" s="1"/>
  <c r="M85" i="4" s="1"/>
  <c r="I85" i="4"/>
  <c r="J85" i="4" s="1"/>
  <c r="K84" i="4"/>
  <c r="L84" i="4" s="1"/>
  <c r="M84" i="4" s="1"/>
  <c r="I84" i="4"/>
  <c r="J84" i="4" s="1"/>
  <c r="K83" i="4"/>
  <c r="L83" i="4" s="1"/>
  <c r="M83" i="4" s="1"/>
  <c r="I83" i="4"/>
  <c r="J83" i="4" s="1"/>
  <c r="K82" i="4"/>
  <c r="L82" i="4" s="1"/>
  <c r="M82" i="4" s="1"/>
  <c r="I82" i="4"/>
  <c r="J82" i="4" s="1"/>
  <c r="K81" i="4"/>
  <c r="L81" i="4" s="1"/>
  <c r="M81" i="4" s="1"/>
  <c r="I81" i="4"/>
  <c r="J81" i="4" s="1"/>
  <c r="K80" i="4"/>
  <c r="L80" i="4" s="1"/>
  <c r="M80" i="4" s="1"/>
  <c r="I80" i="4"/>
  <c r="J80" i="4" s="1"/>
  <c r="K79" i="4"/>
  <c r="L79" i="4" s="1"/>
  <c r="M79" i="4" s="1"/>
  <c r="I79" i="4"/>
  <c r="J79" i="4" s="1"/>
  <c r="K78" i="4"/>
  <c r="L78" i="4" s="1"/>
  <c r="M78" i="4" s="1"/>
  <c r="I78" i="4"/>
  <c r="J78" i="4" s="1"/>
  <c r="K77" i="4"/>
  <c r="L77" i="4" s="1"/>
  <c r="M77" i="4" s="1"/>
  <c r="I77" i="4"/>
  <c r="J77" i="4" s="1"/>
  <c r="K76" i="4"/>
  <c r="L76" i="4" s="1"/>
  <c r="M76" i="4" s="1"/>
  <c r="I76" i="4"/>
  <c r="J76" i="4" s="1"/>
  <c r="K75" i="4"/>
  <c r="L75" i="4" s="1"/>
  <c r="M75" i="4" s="1"/>
  <c r="I75" i="4"/>
  <c r="J75" i="4" s="1"/>
  <c r="K74" i="4"/>
  <c r="L74" i="4" s="1"/>
  <c r="M74" i="4" s="1"/>
  <c r="I74" i="4"/>
  <c r="J74" i="4" s="1"/>
  <c r="K73" i="4"/>
  <c r="L73" i="4" s="1"/>
  <c r="M73" i="4" s="1"/>
  <c r="I73" i="4"/>
  <c r="J73" i="4" s="1"/>
  <c r="K72" i="4"/>
  <c r="L72" i="4" s="1"/>
  <c r="M72" i="4" s="1"/>
  <c r="I72" i="4"/>
  <c r="J72" i="4" s="1"/>
  <c r="K71" i="4"/>
  <c r="L71" i="4" s="1"/>
  <c r="M71" i="4" s="1"/>
  <c r="I71" i="4"/>
  <c r="J71" i="4" s="1"/>
  <c r="K70" i="4"/>
  <c r="L70" i="4" s="1"/>
  <c r="M70" i="4" s="1"/>
  <c r="I70" i="4"/>
  <c r="J70" i="4" s="1"/>
  <c r="K69" i="4"/>
  <c r="L69" i="4" s="1"/>
  <c r="M69" i="4" s="1"/>
  <c r="I69" i="4"/>
  <c r="J69" i="4" s="1"/>
  <c r="K68" i="4"/>
  <c r="L68" i="4" s="1"/>
  <c r="M68" i="4" s="1"/>
  <c r="I68" i="4"/>
  <c r="J68" i="4" s="1"/>
  <c r="K67" i="4"/>
  <c r="L67" i="4" s="1"/>
  <c r="M67" i="4" s="1"/>
  <c r="I67" i="4"/>
  <c r="J67" i="4" s="1"/>
  <c r="K66" i="4"/>
  <c r="L66" i="4" s="1"/>
  <c r="M66" i="4" s="1"/>
  <c r="I66" i="4"/>
  <c r="J66" i="4" s="1"/>
  <c r="K65" i="4"/>
  <c r="L65" i="4" s="1"/>
  <c r="M65" i="4" s="1"/>
  <c r="I65" i="4"/>
  <c r="J65" i="4" s="1"/>
  <c r="K64" i="4"/>
  <c r="L64" i="4" s="1"/>
  <c r="M64" i="4" s="1"/>
  <c r="I64" i="4"/>
  <c r="J64" i="4" s="1"/>
  <c r="K63" i="4"/>
  <c r="L63" i="4" s="1"/>
  <c r="M63" i="4" s="1"/>
  <c r="I63" i="4"/>
  <c r="J63" i="4" s="1"/>
  <c r="K62" i="4"/>
  <c r="L62" i="4" s="1"/>
  <c r="M62" i="4" s="1"/>
  <c r="I62" i="4"/>
  <c r="J62" i="4" s="1"/>
  <c r="K61" i="4"/>
  <c r="L61" i="4" s="1"/>
  <c r="M61" i="4" s="1"/>
  <c r="I61" i="4"/>
  <c r="J61" i="4" s="1"/>
  <c r="K60" i="4"/>
  <c r="L60" i="4" s="1"/>
  <c r="M60" i="4" s="1"/>
  <c r="I60" i="4"/>
  <c r="J60" i="4" s="1"/>
  <c r="K59" i="4"/>
  <c r="L59" i="4" s="1"/>
  <c r="M59" i="4" s="1"/>
  <c r="I59" i="4"/>
  <c r="J59" i="4" s="1"/>
  <c r="K58" i="4"/>
  <c r="L58" i="4" s="1"/>
  <c r="M58" i="4" s="1"/>
  <c r="I58" i="4"/>
  <c r="J58" i="4" s="1"/>
  <c r="K57" i="4"/>
  <c r="L57" i="4" s="1"/>
  <c r="M57" i="4" s="1"/>
  <c r="I57" i="4"/>
  <c r="J57" i="4" s="1"/>
  <c r="K56" i="4"/>
  <c r="L56" i="4" s="1"/>
  <c r="M56" i="4" s="1"/>
  <c r="I56" i="4"/>
  <c r="J56" i="4" s="1"/>
  <c r="K55" i="4"/>
  <c r="L55" i="4" s="1"/>
  <c r="M55" i="4" s="1"/>
  <c r="I55" i="4"/>
  <c r="J55" i="4" s="1"/>
  <c r="K54" i="4"/>
  <c r="L54" i="4" s="1"/>
  <c r="M54" i="4" s="1"/>
  <c r="I54" i="4"/>
  <c r="J54" i="4" s="1"/>
  <c r="K53" i="4"/>
  <c r="L53" i="4" s="1"/>
  <c r="M53" i="4" s="1"/>
  <c r="I53" i="4"/>
  <c r="J53" i="4" s="1"/>
  <c r="K52" i="4"/>
  <c r="L52" i="4" s="1"/>
  <c r="M52" i="4" s="1"/>
  <c r="I52" i="4"/>
  <c r="J52" i="4" s="1"/>
  <c r="K51" i="4"/>
  <c r="L51" i="4" s="1"/>
  <c r="M51" i="4" s="1"/>
  <c r="I51" i="4"/>
  <c r="J51" i="4" s="1"/>
  <c r="K50" i="4"/>
  <c r="L50" i="4" s="1"/>
  <c r="M50" i="4" s="1"/>
  <c r="I50" i="4"/>
  <c r="J50" i="4" s="1"/>
  <c r="K49" i="4"/>
  <c r="L49" i="4" s="1"/>
  <c r="M49" i="4" s="1"/>
  <c r="I49" i="4"/>
  <c r="J49" i="4" s="1"/>
  <c r="K48" i="4"/>
  <c r="L48" i="4" s="1"/>
  <c r="M48" i="4" s="1"/>
  <c r="I48" i="4"/>
  <c r="J48" i="4" s="1"/>
  <c r="K47" i="4"/>
  <c r="L47" i="4" s="1"/>
  <c r="M47" i="4" s="1"/>
  <c r="I47" i="4"/>
  <c r="J47" i="4" s="1"/>
  <c r="K46" i="4"/>
  <c r="L46" i="4" s="1"/>
  <c r="M46" i="4" s="1"/>
  <c r="I46" i="4"/>
  <c r="J46" i="4" s="1"/>
  <c r="K45" i="4"/>
  <c r="L45" i="4" s="1"/>
  <c r="M45" i="4" s="1"/>
  <c r="I45" i="4"/>
  <c r="J45" i="4" s="1"/>
  <c r="K44" i="4"/>
  <c r="L44" i="4" s="1"/>
  <c r="M44" i="4" s="1"/>
  <c r="I44" i="4"/>
  <c r="J44" i="4" s="1"/>
  <c r="K43" i="4"/>
  <c r="L43" i="4" s="1"/>
  <c r="M43" i="4" s="1"/>
  <c r="I43" i="4"/>
  <c r="J43" i="4" s="1"/>
  <c r="K42" i="4"/>
  <c r="L42" i="4" s="1"/>
  <c r="M42" i="4" s="1"/>
  <c r="I42" i="4"/>
  <c r="J42" i="4" s="1"/>
  <c r="K41" i="4"/>
  <c r="L41" i="4" s="1"/>
  <c r="M41" i="4" s="1"/>
  <c r="I41" i="4"/>
  <c r="J41" i="4" s="1"/>
  <c r="K40" i="4"/>
  <c r="L40" i="4" s="1"/>
  <c r="M40" i="4" s="1"/>
  <c r="I40" i="4"/>
  <c r="J40" i="4" s="1"/>
  <c r="K39" i="4"/>
  <c r="L39" i="4" s="1"/>
  <c r="M39" i="4" s="1"/>
  <c r="I39" i="4"/>
  <c r="J39" i="4" s="1"/>
  <c r="K38" i="4"/>
  <c r="L38" i="4" s="1"/>
  <c r="M38" i="4" s="1"/>
  <c r="I38" i="4"/>
  <c r="J38" i="4" s="1"/>
  <c r="K37" i="4"/>
  <c r="L37" i="4" s="1"/>
  <c r="M37" i="4" s="1"/>
  <c r="I37" i="4"/>
  <c r="J37" i="4" s="1"/>
  <c r="K36" i="4"/>
  <c r="L36" i="4" s="1"/>
  <c r="M36" i="4" s="1"/>
  <c r="I36" i="4"/>
  <c r="J36" i="4" s="1"/>
  <c r="K35" i="4"/>
  <c r="L35" i="4" s="1"/>
  <c r="M35" i="4" s="1"/>
  <c r="I35" i="4"/>
  <c r="J35" i="4" s="1"/>
  <c r="K34" i="4"/>
  <c r="L34" i="4" s="1"/>
  <c r="M34" i="4" s="1"/>
  <c r="I34" i="4"/>
  <c r="J34" i="4" s="1"/>
  <c r="K33" i="4"/>
  <c r="L33" i="4" s="1"/>
  <c r="M33" i="4" s="1"/>
  <c r="I33" i="4"/>
  <c r="J33" i="4" s="1"/>
  <c r="K32" i="4"/>
  <c r="L32" i="4" s="1"/>
  <c r="M32" i="4" s="1"/>
  <c r="I32" i="4"/>
  <c r="J32" i="4" s="1"/>
  <c r="K31" i="4"/>
  <c r="L31" i="4" s="1"/>
  <c r="M31" i="4" s="1"/>
  <c r="I31" i="4"/>
  <c r="J31" i="4" s="1"/>
  <c r="K30" i="4"/>
  <c r="L30" i="4" s="1"/>
  <c r="M30" i="4" s="1"/>
  <c r="I30" i="4"/>
  <c r="J30" i="4" s="1"/>
  <c r="K29" i="4"/>
  <c r="L29" i="4" s="1"/>
  <c r="M29" i="4" s="1"/>
  <c r="I29" i="4"/>
  <c r="J29" i="4" s="1"/>
  <c r="K28" i="4"/>
  <c r="L28" i="4" s="1"/>
  <c r="M28" i="4" s="1"/>
  <c r="I28" i="4"/>
  <c r="J28" i="4" s="1"/>
  <c r="K27" i="4"/>
  <c r="L27" i="4" s="1"/>
  <c r="M27" i="4" s="1"/>
  <c r="I27" i="4"/>
  <c r="J27" i="4" s="1"/>
  <c r="K26" i="4"/>
  <c r="L26" i="4" s="1"/>
  <c r="M26" i="4" s="1"/>
  <c r="I26" i="4"/>
  <c r="J26" i="4" s="1"/>
  <c r="K25" i="4"/>
  <c r="L25" i="4" s="1"/>
  <c r="M25" i="4" s="1"/>
  <c r="I25" i="4"/>
  <c r="J25" i="4" s="1"/>
  <c r="K24" i="4"/>
  <c r="L24" i="4" s="1"/>
  <c r="M24" i="4" s="1"/>
  <c r="I24" i="4"/>
  <c r="J24" i="4" s="1"/>
  <c r="K23" i="4"/>
  <c r="L23" i="4" s="1"/>
  <c r="M23" i="4" s="1"/>
  <c r="I23" i="4"/>
  <c r="J23" i="4" s="1"/>
  <c r="K22" i="4"/>
  <c r="L22" i="4" s="1"/>
  <c r="M22" i="4" s="1"/>
  <c r="I22" i="4"/>
  <c r="J22" i="4" s="1"/>
  <c r="K21" i="4"/>
  <c r="L21" i="4" s="1"/>
  <c r="M21" i="4" s="1"/>
  <c r="I21" i="4"/>
  <c r="J21" i="4" s="1"/>
  <c r="K20" i="4"/>
  <c r="L20" i="4" s="1"/>
  <c r="M20" i="4" s="1"/>
  <c r="I20" i="4"/>
  <c r="J20" i="4" s="1"/>
  <c r="K19" i="4"/>
  <c r="L19" i="4" s="1"/>
  <c r="M19" i="4" s="1"/>
  <c r="I19" i="4"/>
  <c r="J19" i="4" s="1"/>
  <c r="K18" i="4"/>
  <c r="L18" i="4" s="1"/>
  <c r="M18" i="4" s="1"/>
  <c r="I18" i="4"/>
  <c r="J18" i="4" s="1"/>
  <c r="K17" i="4"/>
  <c r="L17" i="4" s="1"/>
  <c r="M17" i="4" s="1"/>
  <c r="I17" i="4"/>
  <c r="J17" i="4" s="1"/>
  <c r="K16" i="4"/>
  <c r="L16" i="4" s="1"/>
  <c r="M16" i="4" s="1"/>
  <c r="I16" i="4"/>
  <c r="J16" i="4" s="1"/>
  <c r="K15" i="4"/>
  <c r="L15" i="4" s="1"/>
  <c r="M15" i="4" s="1"/>
  <c r="I15" i="4"/>
  <c r="J15" i="4" s="1"/>
  <c r="K14" i="4"/>
  <c r="L14" i="4" s="1"/>
  <c r="M14" i="4" s="1"/>
  <c r="I14" i="4"/>
  <c r="J14" i="4" s="1"/>
  <c r="K13" i="4"/>
  <c r="L13" i="4" s="1"/>
  <c r="M13" i="4" s="1"/>
  <c r="I13" i="4"/>
  <c r="J13" i="4" s="1"/>
  <c r="K12" i="4"/>
  <c r="L12" i="4" s="1"/>
  <c r="M12" i="4" s="1"/>
  <c r="I12" i="4"/>
  <c r="J12" i="4" s="1"/>
  <c r="K11" i="4"/>
  <c r="L11" i="4" s="1"/>
  <c r="M11" i="4" s="1"/>
  <c r="I11" i="4"/>
  <c r="J11" i="4" s="1"/>
  <c r="K10" i="4"/>
  <c r="L10" i="4" s="1"/>
  <c r="M10" i="4" s="1"/>
  <c r="I10" i="4"/>
  <c r="J10" i="4" s="1"/>
  <c r="K9" i="4"/>
  <c r="L9" i="4" s="1"/>
  <c r="M9" i="4" s="1"/>
  <c r="I9" i="4"/>
  <c r="J9" i="4" s="1"/>
  <c r="K8" i="4"/>
  <c r="L8" i="4" s="1"/>
  <c r="M8" i="4" s="1"/>
  <c r="I8" i="4"/>
  <c r="J8" i="4" s="1"/>
  <c r="K7" i="4"/>
  <c r="L7" i="4" s="1"/>
  <c r="M7" i="4" s="1"/>
  <c r="I7" i="4"/>
  <c r="J7" i="4" s="1"/>
  <c r="K6" i="4"/>
  <c r="L6" i="4" s="1"/>
  <c r="M6" i="4" s="1"/>
  <c r="I6" i="4"/>
  <c r="J6" i="4" s="1"/>
  <c r="K5" i="4"/>
  <c r="L5" i="4" s="1"/>
  <c r="M5" i="4" s="1"/>
  <c r="I5" i="4"/>
  <c r="J5" i="4" s="1"/>
  <c r="K4" i="4"/>
  <c r="L4" i="4" s="1"/>
  <c r="M4" i="4" s="1"/>
  <c r="I4" i="4"/>
  <c r="J4" i="4" s="1"/>
  <c r="K3" i="4"/>
  <c r="L3" i="4" s="1"/>
  <c r="I3" i="4"/>
  <c r="J3" i="4" s="1"/>
  <c r="K2" i="4"/>
  <c r="L2" i="4" s="1"/>
  <c r="I2" i="4"/>
  <c r="B3" i="1"/>
  <c r="B2" i="1"/>
  <c r="D10" i="6" l="1"/>
  <c r="D3" i="6"/>
  <c r="D8" i="6"/>
  <c r="D4" i="6"/>
  <c r="D7" i="6"/>
  <c r="D13" i="6"/>
  <c r="D9" i="6"/>
  <c r="M2" i="4"/>
  <c r="M3" i="4"/>
  <c r="B6" i="1"/>
  <c r="D6" i="6"/>
  <c r="D12" i="6"/>
  <c r="D2" i="6"/>
  <c r="E2" i="6" s="1"/>
  <c r="J2" i="4"/>
  <c r="B7" i="1" s="1"/>
  <c r="D5" i="6"/>
  <c r="D11" i="6"/>
  <c r="B5" i="1"/>
  <c r="E3" i="6" l="1"/>
  <c r="E4" i="6" s="1"/>
  <c r="E5" i="6" s="1"/>
  <c r="E6" i="6" s="1"/>
  <c r="E7" i="6" s="1"/>
  <c r="E8" i="6" s="1"/>
  <c r="E9" i="6" s="1"/>
  <c r="E10" i="6" l="1"/>
  <c r="E11" i="6" s="1"/>
  <c r="E12" i="6" s="1"/>
  <c r="E13" i="6" s="1"/>
  <c r="B4" i="1" s="1"/>
</calcChain>
</file>

<file path=xl/sharedStrings.xml><?xml version="1.0" encoding="utf-8"?>
<sst xmlns="http://schemas.openxmlformats.org/spreadsheetml/2006/main" count="97" uniqueCount="63">
  <si>
    <t>Indicador</t>
  </si>
  <si>
    <t>Valor</t>
  </si>
  <si>
    <t>Ingresos Totales</t>
  </si>
  <si>
    <t>Gastos Totales</t>
  </si>
  <si>
    <t>Balance Acumulado</t>
  </si>
  <si>
    <t>Deuda Pendiente</t>
  </si>
  <si>
    <t>Cuotas Pagadas</t>
  </si>
  <si>
    <t>Cuotas Restantes</t>
  </si>
  <si>
    <t>Fecha</t>
  </si>
  <si>
    <t>Mes</t>
  </si>
  <si>
    <t>Fuente</t>
  </si>
  <si>
    <t>Categoría</t>
  </si>
  <si>
    <t>Descripción</t>
  </si>
  <si>
    <t>Necesidad/Deseo</t>
  </si>
  <si>
    <t>ID</t>
  </si>
  <si>
    <t>Entidad</t>
  </si>
  <si>
    <t>Concepto</t>
  </si>
  <si>
    <t>Monto Total</t>
  </si>
  <si>
    <t>Cuotas Totales</t>
  </si>
  <si>
    <t>Valor Cuota</t>
  </si>
  <si>
    <t>Fecha Inicio</t>
  </si>
  <si>
    <t>Día Pago</t>
  </si>
  <si>
    <t>Cuotas Pagadas(auto)</t>
  </si>
  <si>
    <t>Cuotas Restantes(auto)</t>
  </si>
  <si>
    <t>Total Pagado(auto)</t>
  </si>
  <si>
    <t>Saldo(auto)</t>
  </si>
  <si>
    <t>Estado</t>
  </si>
  <si>
    <t>N° Cuota</t>
  </si>
  <si>
    <t>Valor Pagado</t>
  </si>
  <si>
    <t>Comprobante</t>
  </si>
  <si>
    <t>Observaciones</t>
  </si>
  <si>
    <t>Ingresos</t>
  </si>
  <si>
    <t>Gastos</t>
  </si>
  <si>
    <t>Balance 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</si>
  <si>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</si>
  <si>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</si>
  <si>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</si>
  <si>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</si>
  <si>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</si>
  <si>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</si>
  <si>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</si>
  <si>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</si>
  <si>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</si>
  <si>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</si>
  <si>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</si>
  <si>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</si>
  <si>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Eduardo</t>
  </si>
  <si>
    <t>Titi</t>
  </si>
  <si>
    <t>Moto</t>
  </si>
  <si>
    <t>Solventa</t>
  </si>
  <si>
    <t>Gilla</t>
  </si>
  <si>
    <t>Tarjetas</t>
  </si>
  <si>
    <t>Plan</t>
  </si>
  <si>
    <t>Tia Denis</t>
  </si>
  <si>
    <t>Señor Jorge</t>
  </si>
  <si>
    <t>Moto Shein</t>
  </si>
  <si>
    <t>Colonia</t>
  </si>
  <si>
    <t>Shein</t>
  </si>
  <si>
    <t>Sueldo</t>
  </si>
  <si>
    <t>Talento Tech</t>
  </si>
  <si>
    <t>Accesorios Moto</t>
  </si>
  <si>
    <t>Licencia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</si>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</sst>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164" fontId="1" fillId="0" borderId="0" xfId="1" applyNumberFormat="1" applyFont="1"/>
    <xf numFmtId="164" fontId="0" fillId="0" borderId="0" xfId="1" applyNumberFormat="1" applyFont="1"/>
    <xf numFmtId="1" fontId="0" fillId="0" borderId="0" xfId="1" applyNumberFormat="1" applyFont="1"/>
    <xf numFmtId="14" fontId="1" fillId="0" borderId="0" xfId="1" applyNumberFormat="1" applyFont="1"/>
    <xf numFmtId="14" fontId="0" fillId="0" borderId="0" xfId="1" applyNumberFormat="1" applyFont="1"/>
    <xf numFmtId="1" fontId="1" fillId="0" borderId="0" xfId="1" applyNumberFormat="1" applyFont="1"/>
    <xf numFmtId="0" fontId="1" fillId="0" borderId="2" xfId="0" applyFont="1" applyFill="1" applyBorder="1"/>
    <xf numFmtId="0" fontId="1" fillId="0" borderId="3" xfId="0" applyFont="1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1" xfId="0" applyFill="1" applyBorder="1"/>
    <xf numFmtId="164" fontId="0" fillId="0" borderId="1" xfId="1" applyNumberFormat="1" applyFont="1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164" fontId="0" fillId="0" borderId="8" xfId="1" applyNumberFormat="1" applyFont="1" applyFill="1" applyBorder="1"/>
    <xf numFmtId="0" fontId="0" fillId="0" borderId="9" xfId="0" applyFill="1" applyBorder="1"/>
    <xf numFmtId="0" fontId="0" fillId="0" borderId="10" xfId="0" applyBorder="1"/>
    <xf numFmtId="164" fontId="0" fillId="0" borderId="11" xfId="1" applyNumberFormat="1" applyFont="1" applyBorder="1"/>
    <xf numFmtId="164" fontId="1" fillId="0" borderId="4" xfId="1" applyNumberFormat="1" applyFont="1" applyFill="1" applyBorder="1"/>
    <xf numFmtId="164" fontId="0" fillId="0" borderId="6" xfId="1" applyNumberFormat="1" applyFont="1" applyFill="1" applyBorder="1"/>
    <xf numFmtId="164" fontId="0" fillId="0" borderId="9" xfId="1" applyNumberFormat="1" applyFont="1" applyFill="1" applyBorder="1"/>
  </cellXfs>
  <cellStyles count="2">
    <cellStyle name="Moneda" xfId="1" builtinId="4"/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theme="4" tint="0.79998168889431442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theme="4" tint="0.79998168889431442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theme="4" tint="0.79998168889431442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theme="4" tint="0.79998168889431442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theme="4" tint="0.79998168889431442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theme="4" tint="0.79998168889431442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theme="4" tint="0.79998168889431442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17FD25-780D-47BD-8AED-EE01E563E5F5}" name="Tabla2" displayName="Tabla2" ref="A1:F8" totalsRowShown="0" headerRowDxfId="0" dataDxfId="10" headerRowBorderDxfId="8" tableBorderDxfId="9" totalsRowBorderDxfId="7">
  <autoFilter ref="A1:F8" xr:uid="{2617FD25-780D-47BD-8AED-EE01E563E5F5}"/>
  <tableColumns count="6">
    <tableColumn id="1" xr3:uid="{608C8D8D-66FC-425E-ABD5-B9E7D5701D92}" name="Fecha" dataDxfId="6"/>
    <tableColumn id="2" xr3:uid="{9825F494-AA36-4B99-AC9F-82E4FF6318E1}" name="Mes" dataDxfId="5"/>
    <tableColumn id="3" xr3:uid="{AB96DE44-ECC5-4B62-8F2E-8B8850AB2F60}" name="Fuente" dataDxfId="4"/>
    <tableColumn id="4" xr3:uid="{9E477F6E-89BC-4119-A715-3B6482BDAA70}" name="Categoría" dataDxfId="3"/>
    <tableColumn id="5" xr3:uid="{489408ED-4158-492C-9286-819E4F4B03ED}" name="Descripción" dataDxfId="2"/>
    <tableColumn id="6" xr3:uid="{82D3CFB2-E107-468D-B065-70B6FC01983A}" name="Valor" dataDxfId="1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BC36E-311A-4E4C-AD8C-B4B6C7C18703}" name="Tabla1" displayName="Tabla1" ref="A1:G15" totalsRowShown="0" headerRowDxfId="11" dataDxfId="22" headerRowBorderDxfId="20" tableBorderDxfId="21" totalsRowBorderDxfId="19">
  <autoFilter ref="A1:G15" xr:uid="{8A8BC36E-311A-4E4C-AD8C-B4B6C7C18703}"/>
  <tableColumns count="7">
    <tableColumn id="1" xr3:uid="{B51832D5-CDB5-4728-9425-783A692A1CF5}" name="Fecha" dataDxfId="18"/>
    <tableColumn id="2" xr3:uid="{2B254898-0628-45A3-9A14-08125ED00A42}" name="Mes" dataDxfId="17"/>
    <tableColumn id="3" xr3:uid="{DBA4A152-5674-42EA-B1A6-86578F673388}" name="Categoría" dataDxfId="16"/>
    <tableColumn id="4" xr3:uid="{5B714BA2-C0CE-4CF6-8520-E2D93A985C9A}" name="Descripción" dataDxfId="15"/>
    <tableColumn id="5" xr3:uid="{39F729B9-2E4B-4ACA-B3B5-9568A7F2B284}" name="Valor" dataDxfId="14" dataCellStyle="Moneda"/>
    <tableColumn id="6" xr3:uid="{EEFD677F-B9E3-424D-A281-87D200AE1D79}" name="Necesidad/Deseo" dataDxfId="13"/>
    <tableColumn id="7" xr3:uid="{F0976E3B-766C-47BF-85B7-971A39F02662}" name="Columna1" dataDxfId="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3" sqref="B3"/>
    </sheetView>
  </sheetViews>
  <sheetFormatPr baseColWidth="10" defaultColWidth="8.88671875" defaultRowHeight="14.4" x14ac:dyDescent="0.3"/>
  <cols>
    <col min="1" max="1" width="17.109375" bestFit="1" customWidth="1"/>
    <col min="2" max="2" width="15.33203125" style="3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s="3">
        <f>SUM(Ingresos!F:F)</f>
        <v>13000000</v>
      </c>
    </row>
    <row r="3" spans="1:2" x14ac:dyDescent="0.3">
      <c r="A3" t="s">
        <v>3</v>
      </c>
      <c r="B3" s="3">
        <f>SUM(Gastos!E:E)</f>
        <v>9433000</v>
      </c>
    </row>
    <row r="4" spans="1:2" x14ac:dyDescent="0.3">
      <c r="A4" t="s">
        <v>4</v>
      </c>
      <c r="B4" s="3">
        <f>'Resumen Mensual'!E13</f>
        <v>3567000</v>
      </c>
    </row>
    <row r="5" spans="1:2" x14ac:dyDescent="0.3">
      <c r="A5" t="s">
        <v>5</v>
      </c>
      <c r="B5" s="3">
        <f>SUM('Control de Cuotas'!L:L)</f>
        <v>0</v>
      </c>
    </row>
    <row r="6" spans="1:2" x14ac:dyDescent="0.3">
      <c r="A6" t="s">
        <v>6</v>
      </c>
      <c r="B6" s="3">
        <f>SUM('Control de Cuotas'!I:I)</f>
        <v>0</v>
      </c>
    </row>
    <row r="7" spans="1:2" x14ac:dyDescent="0.3">
      <c r="A7" t="s">
        <v>7</v>
      </c>
      <c r="B7" s="3">
        <f>SUM('Control de Cuotas'!J:J)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1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9" style="4" bestFit="1" customWidth="1"/>
    <col min="2" max="3" width="8.88671875" style="3"/>
    <col min="4" max="4" width="14.33203125" style="3" bestFit="1" customWidth="1"/>
    <col min="5" max="5" width="13.33203125" style="3" bestFit="1" customWidth="1"/>
    <col min="6" max="6" width="12.77734375" style="3" bestFit="1" customWidth="1"/>
    <col min="7" max="7" width="12.21875" style="6" bestFit="1" customWidth="1"/>
    <col min="8" max="8" width="8.88671875" style="4"/>
    <col min="9" max="9" width="20.88671875" style="3" bestFit="1" customWidth="1"/>
    <col min="10" max="10" width="22.109375" style="3" bestFit="1" customWidth="1"/>
    <col min="11" max="11" width="18.6640625" style="3" bestFit="1" customWidth="1"/>
    <col min="12" max="12" width="14.33203125" style="3" bestFit="1" customWidth="1"/>
    <col min="13" max="13" width="10.44140625" style="3" bestFit="1" customWidth="1"/>
  </cols>
  <sheetData>
    <row r="1" spans="1:13" x14ac:dyDescent="0.3">
      <c r="A1" s="7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5" t="s">
        <v>20</v>
      </c>
      <c r="H1" s="7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 spans="1:13" x14ac:dyDescent="0.3">
      <c r="I2" s="3">
        <f>COUNTIF('Pagos de Cuotas'!C:C,A2)</f>
        <v>0</v>
      </c>
      <c r="J2" s="3">
        <f t="shared" ref="J2:J65" si="0">E2-I2</f>
        <v>0</v>
      </c>
      <c r="K2" s="3">
        <f>SUMIF('Pagos de Cuotas'!C:C,A2,'Pagos de Cuotas'!F:F)</f>
        <v>0</v>
      </c>
      <c r="L2" s="3">
        <f t="shared" ref="L2:L65" si="1">D2-K2</f>
        <v>0</v>
      </c>
      <c r="M2" s="3" t="str">
        <f t="shared" ref="M2:M65" si="2">IF(L2&lt;=0,"Finalizada",IF(I2=0,"Pendiente","En curso"))</f>
        <v>Finalizada</v>
      </c>
    </row>
    <row r="3" spans="1:13" x14ac:dyDescent="0.3">
      <c r="I3" s="3">
        <f>COUNTIF('Pagos de Cuotas'!C:C,A3)</f>
        <v>0</v>
      </c>
      <c r="J3" s="3">
        <f t="shared" si="0"/>
        <v>0</v>
      </c>
      <c r="K3" s="3">
        <f>SUMIF('Pagos de Cuotas'!C:C,A3,'Pagos de Cuotas'!F:F)</f>
        <v>0</v>
      </c>
      <c r="L3" s="3">
        <f t="shared" si="1"/>
        <v>0</v>
      </c>
      <c r="M3" s="3" t="str">
        <f t="shared" si="2"/>
        <v>Finalizada</v>
      </c>
    </row>
    <row r="4" spans="1:13" x14ac:dyDescent="0.3">
      <c r="I4" s="3">
        <f>COUNTIF('Pagos de Cuotas'!C:C,A4)</f>
        <v>0</v>
      </c>
      <c r="J4" s="3">
        <f t="shared" si="0"/>
        <v>0</v>
      </c>
      <c r="K4" s="3">
        <f>SUMIF('Pagos de Cuotas'!C:C,A4,'Pagos de Cuotas'!F:F)</f>
        <v>0</v>
      </c>
      <c r="L4" s="3">
        <f t="shared" si="1"/>
        <v>0</v>
      </c>
      <c r="M4" s="3" t="str">
        <f t="shared" si="2"/>
        <v>Finalizada</v>
      </c>
    </row>
    <row r="5" spans="1:13" x14ac:dyDescent="0.3">
      <c r="I5" s="3">
        <f>COUNTIF('Pagos de Cuotas'!C:C,A5)</f>
        <v>0</v>
      </c>
      <c r="J5" s="3">
        <f t="shared" si="0"/>
        <v>0</v>
      </c>
      <c r="K5" s="3">
        <f>SUMIF('Pagos de Cuotas'!C:C,A5,'Pagos de Cuotas'!F:F)</f>
        <v>0</v>
      </c>
      <c r="L5" s="3">
        <f t="shared" si="1"/>
        <v>0</v>
      </c>
      <c r="M5" s="3" t="str">
        <f t="shared" si="2"/>
        <v>Finalizada</v>
      </c>
    </row>
    <row r="6" spans="1:13" x14ac:dyDescent="0.3">
      <c r="I6" s="3">
        <f>COUNTIF('Pagos de Cuotas'!C:C,A6)</f>
        <v>0</v>
      </c>
      <c r="J6" s="3">
        <f t="shared" si="0"/>
        <v>0</v>
      </c>
      <c r="K6" s="3">
        <f>SUMIF('Pagos de Cuotas'!C:C,A6,'Pagos de Cuotas'!F:F)</f>
        <v>0</v>
      </c>
      <c r="L6" s="3">
        <f t="shared" si="1"/>
        <v>0</v>
      </c>
      <c r="M6" s="3" t="str">
        <f t="shared" si="2"/>
        <v>Finalizada</v>
      </c>
    </row>
    <row r="7" spans="1:13" x14ac:dyDescent="0.3">
      <c r="I7" s="3">
        <f>COUNTIF('Pagos de Cuotas'!C:C,A7)</f>
        <v>0</v>
      </c>
      <c r="J7" s="3">
        <f t="shared" si="0"/>
        <v>0</v>
      </c>
      <c r="K7" s="3">
        <f>SUMIF('Pagos de Cuotas'!C:C,A7,'Pagos de Cuotas'!F:F)</f>
        <v>0</v>
      </c>
      <c r="L7" s="3">
        <f t="shared" si="1"/>
        <v>0</v>
      </c>
      <c r="M7" s="3" t="str">
        <f t="shared" si="2"/>
        <v>Finalizada</v>
      </c>
    </row>
    <row r="8" spans="1:13" x14ac:dyDescent="0.3">
      <c r="I8" s="3">
        <f>COUNTIF('Pagos de Cuotas'!C:C,A8)</f>
        <v>0</v>
      </c>
      <c r="J8" s="3">
        <f t="shared" si="0"/>
        <v>0</v>
      </c>
      <c r="K8" s="3">
        <f>SUMIF('Pagos de Cuotas'!C:C,A8,'Pagos de Cuotas'!F:F)</f>
        <v>0</v>
      </c>
      <c r="L8" s="3">
        <f t="shared" si="1"/>
        <v>0</v>
      </c>
      <c r="M8" s="3" t="str">
        <f t="shared" si="2"/>
        <v>Finalizada</v>
      </c>
    </row>
    <row r="9" spans="1:13" x14ac:dyDescent="0.3">
      <c r="I9" s="3">
        <f>COUNTIF('Pagos de Cuotas'!C:C,A9)</f>
        <v>0</v>
      </c>
      <c r="J9" s="3">
        <f t="shared" si="0"/>
        <v>0</v>
      </c>
      <c r="K9" s="3">
        <f>SUMIF('Pagos de Cuotas'!C:C,A9,'Pagos de Cuotas'!F:F)</f>
        <v>0</v>
      </c>
      <c r="L9" s="3">
        <f t="shared" si="1"/>
        <v>0</v>
      </c>
      <c r="M9" s="3" t="str">
        <f t="shared" si="2"/>
        <v>Finalizada</v>
      </c>
    </row>
    <row r="10" spans="1:13" x14ac:dyDescent="0.3">
      <c r="I10" s="3">
        <f>COUNTIF('Pagos de Cuotas'!C:C,A10)</f>
        <v>0</v>
      </c>
      <c r="J10" s="3">
        <f t="shared" si="0"/>
        <v>0</v>
      </c>
      <c r="K10" s="3">
        <f>SUMIF('Pagos de Cuotas'!C:C,A10,'Pagos de Cuotas'!F:F)</f>
        <v>0</v>
      </c>
      <c r="L10" s="3">
        <f t="shared" si="1"/>
        <v>0</v>
      </c>
      <c r="M10" s="3" t="str">
        <f t="shared" si="2"/>
        <v>Finalizada</v>
      </c>
    </row>
    <row r="11" spans="1:13" x14ac:dyDescent="0.3">
      <c r="I11" s="3">
        <f>COUNTIF('Pagos de Cuotas'!C:C,A11)</f>
        <v>0</v>
      </c>
      <c r="J11" s="3">
        <f t="shared" si="0"/>
        <v>0</v>
      </c>
      <c r="K11" s="3">
        <f>SUMIF('Pagos de Cuotas'!C:C,A11,'Pagos de Cuotas'!F:F)</f>
        <v>0</v>
      </c>
      <c r="L11" s="3">
        <f t="shared" si="1"/>
        <v>0</v>
      </c>
      <c r="M11" s="3" t="str">
        <f t="shared" si="2"/>
        <v>Finalizada</v>
      </c>
    </row>
    <row r="12" spans="1:13" x14ac:dyDescent="0.3">
      <c r="I12" s="3">
        <f>COUNTIF('Pagos de Cuotas'!C:C,A12)</f>
        <v>0</v>
      </c>
      <c r="J12" s="3">
        <f t="shared" si="0"/>
        <v>0</v>
      </c>
      <c r="K12" s="3">
        <f>SUMIF('Pagos de Cuotas'!C:C,A12,'Pagos de Cuotas'!F:F)</f>
        <v>0</v>
      </c>
      <c r="L12" s="3">
        <f t="shared" si="1"/>
        <v>0</v>
      </c>
      <c r="M12" s="3" t="str">
        <f t="shared" si="2"/>
        <v>Finalizada</v>
      </c>
    </row>
    <row r="13" spans="1:13" x14ac:dyDescent="0.3">
      <c r="I13" s="3">
        <f>COUNTIF('Pagos de Cuotas'!C:C,A13)</f>
        <v>0</v>
      </c>
      <c r="J13" s="3">
        <f t="shared" si="0"/>
        <v>0</v>
      </c>
      <c r="K13" s="3">
        <f>SUMIF('Pagos de Cuotas'!C:C,A13,'Pagos de Cuotas'!F:F)</f>
        <v>0</v>
      </c>
      <c r="L13" s="3">
        <f t="shared" si="1"/>
        <v>0</v>
      </c>
      <c r="M13" s="3" t="str">
        <f t="shared" si="2"/>
        <v>Finalizada</v>
      </c>
    </row>
    <row r="14" spans="1:13" x14ac:dyDescent="0.3">
      <c r="I14" s="3">
        <f>COUNTIF('Pagos de Cuotas'!C:C,A14)</f>
        <v>0</v>
      </c>
      <c r="J14" s="3">
        <f t="shared" si="0"/>
        <v>0</v>
      </c>
      <c r="K14" s="3">
        <f>SUMIF('Pagos de Cuotas'!C:C,A14,'Pagos de Cuotas'!F:F)</f>
        <v>0</v>
      </c>
      <c r="L14" s="3">
        <f t="shared" si="1"/>
        <v>0</v>
      </c>
      <c r="M14" s="3" t="str">
        <f t="shared" si="2"/>
        <v>Finalizada</v>
      </c>
    </row>
    <row r="15" spans="1:13" x14ac:dyDescent="0.3">
      <c r="I15" s="3">
        <f>COUNTIF('Pagos de Cuotas'!C:C,A15)</f>
        <v>0</v>
      </c>
      <c r="J15" s="3">
        <f t="shared" si="0"/>
        <v>0</v>
      </c>
      <c r="K15" s="3">
        <f>SUMIF('Pagos de Cuotas'!C:C,A15,'Pagos de Cuotas'!F:F)</f>
        <v>0</v>
      </c>
      <c r="L15" s="3">
        <f t="shared" si="1"/>
        <v>0</v>
      </c>
      <c r="M15" s="3" t="str">
        <f t="shared" si="2"/>
        <v>Finalizada</v>
      </c>
    </row>
    <row r="16" spans="1:13" x14ac:dyDescent="0.3">
      <c r="I16" s="3">
        <f>COUNTIF('Pagos de Cuotas'!C:C,A16)</f>
        <v>0</v>
      </c>
      <c r="J16" s="3">
        <f t="shared" si="0"/>
        <v>0</v>
      </c>
      <c r="K16" s="3">
        <f>SUMIF('Pagos de Cuotas'!C:C,A16,'Pagos de Cuotas'!F:F)</f>
        <v>0</v>
      </c>
      <c r="L16" s="3">
        <f t="shared" si="1"/>
        <v>0</v>
      </c>
      <c r="M16" s="3" t="str">
        <f t="shared" si="2"/>
        <v>Finalizada</v>
      </c>
    </row>
    <row r="17" spans="9:13" x14ac:dyDescent="0.3">
      <c r="I17" s="3">
        <f>COUNTIF('Pagos de Cuotas'!C:C,A17)</f>
        <v>0</v>
      </c>
      <c r="J17" s="3">
        <f t="shared" si="0"/>
        <v>0</v>
      </c>
      <c r="K17" s="3">
        <f>SUMIF('Pagos de Cuotas'!C:C,A17,'Pagos de Cuotas'!F:F)</f>
        <v>0</v>
      </c>
      <c r="L17" s="3">
        <f t="shared" si="1"/>
        <v>0</v>
      </c>
      <c r="M17" s="3" t="str">
        <f t="shared" si="2"/>
        <v>Finalizada</v>
      </c>
    </row>
    <row r="18" spans="9:13" x14ac:dyDescent="0.3">
      <c r="I18" s="3">
        <f>COUNTIF('Pagos de Cuotas'!C:C,A18)</f>
        <v>0</v>
      </c>
      <c r="J18" s="3">
        <f t="shared" si="0"/>
        <v>0</v>
      </c>
      <c r="K18" s="3">
        <f>SUMIF('Pagos de Cuotas'!C:C,A18,'Pagos de Cuotas'!F:F)</f>
        <v>0</v>
      </c>
      <c r="L18" s="3">
        <f t="shared" si="1"/>
        <v>0</v>
      </c>
      <c r="M18" s="3" t="str">
        <f t="shared" si="2"/>
        <v>Finalizada</v>
      </c>
    </row>
    <row r="19" spans="9:13" x14ac:dyDescent="0.3">
      <c r="I19" s="3">
        <f>COUNTIF('Pagos de Cuotas'!C:C,A19)</f>
        <v>0</v>
      </c>
      <c r="J19" s="3">
        <f t="shared" si="0"/>
        <v>0</v>
      </c>
      <c r="K19" s="3">
        <f>SUMIF('Pagos de Cuotas'!C:C,A19,'Pagos de Cuotas'!F:F)</f>
        <v>0</v>
      </c>
      <c r="L19" s="3">
        <f t="shared" si="1"/>
        <v>0</v>
      </c>
      <c r="M19" s="3" t="str">
        <f t="shared" si="2"/>
        <v>Finalizada</v>
      </c>
    </row>
    <row r="20" spans="9:13" x14ac:dyDescent="0.3">
      <c r="I20" s="3">
        <f>COUNTIF('Pagos de Cuotas'!C:C,A20)</f>
        <v>0</v>
      </c>
      <c r="J20" s="3">
        <f t="shared" si="0"/>
        <v>0</v>
      </c>
      <c r="K20" s="3">
        <f>SUMIF('Pagos de Cuotas'!C:C,A20,'Pagos de Cuotas'!F:F)</f>
        <v>0</v>
      </c>
      <c r="L20" s="3">
        <f t="shared" si="1"/>
        <v>0</v>
      </c>
      <c r="M20" s="3" t="str">
        <f t="shared" si="2"/>
        <v>Finalizada</v>
      </c>
    </row>
    <row r="21" spans="9:13" x14ac:dyDescent="0.3">
      <c r="I21" s="3">
        <f>COUNTIF('Pagos de Cuotas'!C:C,A21)</f>
        <v>0</v>
      </c>
      <c r="J21" s="3">
        <f t="shared" si="0"/>
        <v>0</v>
      </c>
      <c r="K21" s="3">
        <f>SUMIF('Pagos de Cuotas'!C:C,A21,'Pagos de Cuotas'!F:F)</f>
        <v>0</v>
      </c>
      <c r="L21" s="3">
        <f t="shared" si="1"/>
        <v>0</v>
      </c>
      <c r="M21" s="3" t="str">
        <f t="shared" si="2"/>
        <v>Finalizada</v>
      </c>
    </row>
    <row r="22" spans="9:13" x14ac:dyDescent="0.3">
      <c r="I22" s="3">
        <f>COUNTIF('Pagos de Cuotas'!C:C,A22)</f>
        <v>0</v>
      </c>
      <c r="J22" s="3">
        <f t="shared" si="0"/>
        <v>0</v>
      </c>
      <c r="K22" s="3">
        <f>SUMIF('Pagos de Cuotas'!C:C,A22,'Pagos de Cuotas'!F:F)</f>
        <v>0</v>
      </c>
      <c r="L22" s="3">
        <f t="shared" si="1"/>
        <v>0</v>
      </c>
      <c r="M22" s="3" t="str">
        <f t="shared" si="2"/>
        <v>Finalizada</v>
      </c>
    </row>
    <row r="23" spans="9:13" x14ac:dyDescent="0.3">
      <c r="I23" s="3">
        <f>COUNTIF('Pagos de Cuotas'!C:C,A23)</f>
        <v>0</v>
      </c>
      <c r="J23" s="3">
        <f t="shared" si="0"/>
        <v>0</v>
      </c>
      <c r="K23" s="3">
        <f>SUMIF('Pagos de Cuotas'!C:C,A23,'Pagos de Cuotas'!F:F)</f>
        <v>0</v>
      </c>
      <c r="L23" s="3">
        <f t="shared" si="1"/>
        <v>0</v>
      </c>
      <c r="M23" s="3" t="str">
        <f t="shared" si="2"/>
        <v>Finalizada</v>
      </c>
    </row>
    <row r="24" spans="9:13" x14ac:dyDescent="0.3">
      <c r="I24" s="3">
        <f>COUNTIF('Pagos de Cuotas'!C:C,A24)</f>
        <v>0</v>
      </c>
      <c r="J24" s="3">
        <f t="shared" si="0"/>
        <v>0</v>
      </c>
      <c r="K24" s="3">
        <f>SUMIF('Pagos de Cuotas'!C:C,A24,'Pagos de Cuotas'!F:F)</f>
        <v>0</v>
      </c>
      <c r="L24" s="3">
        <f t="shared" si="1"/>
        <v>0</v>
      </c>
      <c r="M24" s="3" t="str">
        <f t="shared" si="2"/>
        <v>Finalizada</v>
      </c>
    </row>
    <row r="25" spans="9:13" x14ac:dyDescent="0.3">
      <c r="I25" s="3">
        <f>COUNTIF('Pagos de Cuotas'!C:C,A25)</f>
        <v>0</v>
      </c>
      <c r="J25" s="3">
        <f t="shared" si="0"/>
        <v>0</v>
      </c>
      <c r="K25" s="3">
        <f>SUMIF('Pagos de Cuotas'!C:C,A25,'Pagos de Cuotas'!F:F)</f>
        <v>0</v>
      </c>
      <c r="L25" s="3">
        <f t="shared" si="1"/>
        <v>0</v>
      </c>
      <c r="M25" s="3" t="str">
        <f t="shared" si="2"/>
        <v>Finalizada</v>
      </c>
    </row>
    <row r="26" spans="9:13" x14ac:dyDescent="0.3">
      <c r="I26" s="3">
        <f>COUNTIF('Pagos de Cuotas'!C:C,A26)</f>
        <v>0</v>
      </c>
      <c r="J26" s="3">
        <f t="shared" si="0"/>
        <v>0</v>
      </c>
      <c r="K26" s="3">
        <f>SUMIF('Pagos de Cuotas'!C:C,A26,'Pagos de Cuotas'!F:F)</f>
        <v>0</v>
      </c>
      <c r="L26" s="3">
        <f t="shared" si="1"/>
        <v>0</v>
      </c>
      <c r="M26" s="3" t="str">
        <f t="shared" si="2"/>
        <v>Finalizada</v>
      </c>
    </row>
    <row r="27" spans="9:13" x14ac:dyDescent="0.3">
      <c r="I27" s="3">
        <f>COUNTIF('Pagos de Cuotas'!C:C,A27)</f>
        <v>0</v>
      </c>
      <c r="J27" s="3">
        <f t="shared" si="0"/>
        <v>0</v>
      </c>
      <c r="K27" s="3">
        <f>SUMIF('Pagos de Cuotas'!C:C,A27,'Pagos de Cuotas'!F:F)</f>
        <v>0</v>
      </c>
      <c r="L27" s="3">
        <f t="shared" si="1"/>
        <v>0</v>
      </c>
      <c r="M27" s="3" t="str">
        <f t="shared" si="2"/>
        <v>Finalizada</v>
      </c>
    </row>
    <row r="28" spans="9:13" x14ac:dyDescent="0.3">
      <c r="I28" s="3">
        <f>COUNTIF('Pagos de Cuotas'!C:C,A28)</f>
        <v>0</v>
      </c>
      <c r="J28" s="3">
        <f t="shared" si="0"/>
        <v>0</v>
      </c>
      <c r="K28" s="3">
        <f>SUMIF('Pagos de Cuotas'!C:C,A28,'Pagos de Cuotas'!F:F)</f>
        <v>0</v>
      </c>
      <c r="L28" s="3">
        <f t="shared" si="1"/>
        <v>0</v>
      </c>
      <c r="M28" s="3" t="str">
        <f t="shared" si="2"/>
        <v>Finalizada</v>
      </c>
    </row>
    <row r="29" spans="9:13" x14ac:dyDescent="0.3">
      <c r="I29" s="3">
        <f>COUNTIF('Pagos de Cuotas'!C:C,A29)</f>
        <v>0</v>
      </c>
      <c r="J29" s="3">
        <f t="shared" si="0"/>
        <v>0</v>
      </c>
      <c r="K29" s="3">
        <f>SUMIF('Pagos de Cuotas'!C:C,A29,'Pagos de Cuotas'!F:F)</f>
        <v>0</v>
      </c>
      <c r="L29" s="3">
        <f t="shared" si="1"/>
        <v>0</v>
      </c>
      <c r="M29" s="3" t="str">
        <f t="shared" si="2"/>
        <v>Finalizada</v>
      </c>
    </row>
    <row r="30" spans="9:13" x14ac:dyDescent="0.3">
      <c r="I30" s="3">
        <f>COUNTIF('Pagos de Cuotas'!C:C,A30)</f>
        <v>0</v>
      </c>
      <c r="J30" s="3">
        <f t="shared" si="0"/>
        <v>0</v>
      </c>
      <c r="K30" s="3">
        <f>SUMIF('Pagos de Cuotas'!C:C,A30,'Pagos de Cuotas'!F:F)</f>
        <v>0</v>
      </c>
      <c r="L30" s="3">
        <f t="shared" si="1"/>
        <v>0</v>
      </c>
      <c r="M30" s="3" t="str">
        <f t="shared" si="2"/>
        <v>Finalizada</v>
      </c>
    </row>
    <row r="31" spans="9:13" x14ac:dyDescent="0.3">
      <c r="I31" s="3">
        <f>COUNTIF('Pagos de Cuotas'!C:C,A31)</f>
        <v>0</v>
      </c>
      <c r="J31" s="3">
        <f t="shared" si="0"/>
        <v>0</v>
      </c>
      <c r="K31" s="3">
        <f>SUMIF('Pagos de Cuotas'!C:C,A31,'Pagos de Cuotas'!F:F)</f>
        <v>0</v>
      </c>
      <c r="L31" s="3">
        <f t="shared" si="1"/>
        <v>0</v>
      </c>
      <c r="M31" s="3" t="str">
        <f t="shared" si="2"/>
        <v>Finalizada</v>
      </c>
    </row>
    <row r="32" spans="9:13" x14ac:dyDescent="0.3">
      <c r="I32" s="3">
        <f>COUNTIF('Pagos de Cuotas'!C:C,A32)</f>
        <v>0</v>
      </c>
      <c r="J32" s="3">
        <f t="shared" si="0"/>
        <v>0</v>
      </c>
      <c r="K32" s="3">
        <f>SUMIF('Pagos de Cuotas'!C:C,A32,'Pagos de Cuotas'!F:F)</f>
        <v>0</v>
      </c>
      <c r="L32" s="3">
        <f t="shared" si="1"/>
        <v>0</v>
      </c>
      <c r="M32" s="3" t="str">
        <f t="shared" si="2"/>
        <v>Finalizada</v>
      </c>
    </row>
    <row r="33" spans="9:13" x14ac:dyDescent="0.3">
      <c r="I33" s="3">
        <f>COUNTIF('Pagos de Cuotas'!C:C,A33)</f>
        <v>0</v>
      </c>
      <c r="J33" s="3">
        <f t="shared" si="0"/>
        <v>0</v>
      </c>
      <c r="K33" s="3">
        <f>SUMIF('Pagos de Cuotas'!C:C,A33,'Pagos de Cuotas'!F:F)</f>
        <v>0</v>
      </c>
      <c r="L33" s="3">
        <f t="shared" si="1"/>
        <v>0</v>
      </c>
      <c r="M33" s="3" t="str">
        <f t="shared" si="2"/>
        <v>Finalizada</v>
      </c>
    </row>
    <row r="34" spans="9:13" x14ac:dyDescent="0.3">
      <c r="I34" s="3">
        <f>COUNTIF('Pagos de Cuotas'!C:C,A34)</f>
        <v>0</v>
      </c>
      <c r="J34" s="3">
        <f t="shared" si="0"/>
        <v>0</v>
      </c>
      <c r="K34" s="3">
        <f>SUMIF('Pagos de Cuotas'!C:C,A34,'Pagos de Cuotas'!F:F)</f>
        <v>0</v>
      </c>
      <c r="L34" s="3">
        <f t="shared" si="1"/>
        <v>0</v>
      </c>
      <c r="M34" s="3" t="str">
        <f t="shared" si="2"/>
        <v>Finalizada</v>
      </c>
    </row>
    <row r="35" spans="9:13" x14ac:dyDescent="0.3">
      <c r="I35" s="3">
        <f>COUNTIF('Pagos de Cuotas'!C:C,A35)</f>
        <v>0</v>
      </c>
      <c r="J35" s="3">
        <f t="shared" si="0"/>
        <v>0</v>
      </c>
      <c r="K35" s="3">
        <f>SUMIF('Pagos de Cuotas'!C:C,A35,'Pagos de Cuotas'!F:F)</f>
        <v>0</v>
      </c>
      <c r="L35" s="3">
        <f t="shared" si="1"/>
        <v>0</v>
      </c>
      <c r="M35" s="3" t="str">
        <f t="shared" si="2"/>
        <v>Finalizada</v>
      </c>
    </row>
    <row r="36" spans="9:13" x14ac:dyDescent="0.3">
      <c r="I36" s="3">
        <f>COUNTIF('Pagos de Cuotas'!C:C,A36)</f>
        <v>0</v>
      </c>
      <c r="J36" s="3">
        <f t="shared" si="0"/>
        <v>0</v>
      </c>
      <c r="K36" s="3">
        <f>SUMIF('Pagos de Cuotas'!C:C,A36,'Pagos de Cuotas'!F:F)</f>
        <v>0</v>
      </c>
      <c r="L36" s="3">
        <f t="shared" si="1"/>
        <v>0</v>
      </c>
      <c r="M36" s="3" t="str">
        <f t="shared" si="2"/>
        <v>Finalizada</v>
      </c>
    </row>
    <row r="37" spans="9:13" x14ac:dyDescent="0.3">
      <c r="I37" s="3">
        <f>COUNTIF('Pagos de Cuotas'!C:C,A37)</f>
        <v>0</v>
      </c>
      <c r="J37" s="3">
        <f t="shared" si="0"/>
        <v>0</v>
      </c>
      <c r="K37" s="3">
        <f>SUMIF('Pagos de Cuotas'!C:C,A37,'Pagos de Cuotas'!F:F)</f>
        <v>0</v>
      </c>
      <c r="L37" s="3">
        <f t="shared" si="1"/>
        <v>0</v>
      </c>
      <c r="M37" s="3" t="str">
        <f t="shared" si="2"/>
        <v>Finalizada</v>
      </c>
    </row>
    <row r="38" spans="9:13" x14ac:dyDescent="0.3">
      <c r="I38" s="3">
        <f>COUNTIF('Pagos de Cuotas'!C:C,A38)</f>
        <v>0</v>
      </c>
      <c r="J38" s="3">
        <f t="shared" si="0"/>
        <v>0</v>
      </c>
      <c r="K38" s="3">
        <f>SUMIF('Pagos de Cuotas'!C:C,A38,'Pagos de Cuotas'!F:F)</f>
        <v>0</v>
      </c>
      <c r="L38" s="3">
        <f t="shared" si="1"/>
        <v>0</v>
      </c>
      <c r="M38" s="3" t="str">
        <f t="shared" si="2"/>
        <v>Finalizada</v>
      </c>
    </row>
    <row r="39" spans="9:13" x14ac:dyDescent="0.3">
      <c r="I39" s="3">
        <f>COUNTIF('Pagos de Cuotas'!C:C,A39)</f>
        <v>0</v>
      </c>
      <c r="J39" s="3">
        <f t="shared" si="0"/>
        <v>0</v>
      </c>
      <c r="K39" s="3">
        <f>SUMIF('Pagos de Cuotas'!C:C,A39,'Pagos de Cuotas'!F:F)</f>
        <v>0</v>
      </c>
      <c r="L39" s="3">
        <f t="shared" si="1"/>
        <v>0</v>
      </c>
      <c r="M39" s="3" t="str">
        <f t="shared" si="2"/>
        <v>Finalizada</v>
      </c>
    </row>
    <row r="40" spans="9:13" x14ac:dyDescent="0.3">
      <c r="I40" s="3">
        <f>COUNTIF('Pagos de Cuotas'!C:C,A40)</f>
        <v>0</v>
      </c>
      <c r="J40" s="3">
        <f t="shared" si="0"/>
        <v>0</v>
      </c>
      <c r="K40" s="3">
        <f>SUMIF('Pagos de Cuotas'!C:C,A40,'Pagos de Cuotas'!F:F)</f>
        <v>0</v>
      </c>
      <c r="L40" s="3">
        <f t="shared" si="1"/>
        <v>0</v>
      </c>
      <c r="M40" s="3" t="str">
        <f t="shared" si="2"/>
        <v>Finalizada</v>
      </c>
    </row>
    <row r="41" spans="9:13" x14ac:dyDescent="0.3">
      <c r="I41" s="3">
        <f>COUNTIF('Pagos de Cuotas'!C:C,A41)</f>
        <v>0</v>
      </c>
      <c r="J41" s="3">
        <f t="shared" si="0"/>
        <v>0</v>
      </c>
      <c r="K41" s="3">
        <f>SUMIF('Pagos de Cuotas'!C:C,A41,'Pagos de Cuotas'!F:F)</f>
        <v>0</v>
      </c>
      <c r="L41" s="3">
        <f t="shared" si="1"/>
        <v>0</v>
      </c>
      <c r="M41" s="3" t="str">
        <f t="shared" si="2"/>
        <v>Finalizada</v>
      </c>
    </row>
    <row r="42" spans="9:13" x14ac:dyDescent="0.3">
      <c r="I42" s="3">
        <f>COUNTIF('Pagos de Cuotas'!C:C,A42)</f>
        <v>0</v>
      </c>
      <c r="J42" s="3">
        <f t="shared" si="0"/>
        <v>0</v>
      </c>
      <c r="K42" s="3">
        <f>SUMIF('Pagos de Cuotas'!C:C,A42,'Pagos de Cuotas'!F:F)</f>
        <v>0</v>
      </c>
      <c r="L42" s="3">
        <f t="shared" si="1"/>
        <v>0</v>
      </c>
      <c r="M42" s="3" t="str">
        <f t="shared" si="2"/>
        <v>Finalizada</v>
      </c>
    </row>
    <row r="43" spans="9:13" x14ac:dyDescent="0.3">
      <c r="I43" s="3">
        <f>COUNTIF('Pagos de Cuotas'!C:C,A43)</f>
        <v>0</v>
      </c>
      <c r="J43" s="3">
        <f t="shared" si="0"/>
        <v>0</v>
      </c>
      <c r="K43" s="3">
        <f>SUMIF('Pagos de Cuotas'!C:C,A43,'Pagos de Cuotas'!F:F)</f>
        <v>0</v>
      </c>
      <c r="L43" s="3">
        <f t="shared" si="1"/>
        <v>0</v>
      </c>
      <c r="M43" s="3" t="str">
        <f t="shared" si="2"/>
        <v>Finalizada</v>
      </c>
    </row>
    <row r="44" spans="9:13" x14ac:dyDescent="0.3">
      <c r="I44" s="3">
        <f>COUNTIF('Pagos de Cuotas'!C:C,A44)</f>
        <v>0</v>
      </c>
      <c r="J44" s="3">
        <f t="shared" si="0"/>
        <v>0</v>
      </c>
      <c r="K44" s="3">
        <f>SUMIF('Pagos de Cuotas'!C:C,A44,'Pagos de Cuotas'!F:F)</f>
        <v>0</v>
      </c>
      <c r="L44" s="3">
        <f t="shared" si="1"/>
        <v>0</v>
      </c>
      <c r="M44" s="3" t="str">
        <f t="shared" si="2"/>
        <v>Finalizada</v>
      </c>
    </row>
    <row r="45" spans="9:13" x14ac:dyDescent="0.3">
      <c r="I45" s="3">
        <f>COUNTIF('Pagos de Cuotas'!C:C,A45)</f>
        <v>0</v>
      </c>
      <c r="J45" s="3">
        <f t="shared" si="0"/>
        <v>0</v>
      </c>
      <c r="K45" s="3">
        <f>SUMIF('Pagos de Cuotas'!C:C,A45,'Pagos de Cuotas'!F:F)</f>
        <v>0</v>
      </c>
      <c r="L45" s="3">
        <f t="shared" si="1"/>
        <v>0</v>
      </c>
      <c r="M45" s="3" t="str">
        <f t="shared" si="2"/>
        <v>Finalizada</v>
      </c>
    </row>
    <row r="46" spans="9:13" x14ac:dyDescent="0.3">
      <c r="I46" s="3">
        <f>COUNTIF('Pagos de Cuotas'!C:C,A46)</f>
        <v>0</v>
      </c>
      <c r="J46" s="3">
        <f t="shared" si="0"/>
        <v>0</v>
      </c>
      <c r="K46" s="3">
        <f>SUMIF('Pagos de Cuotas'!C:C,A46,'Pagos de Cuotas'!F:F)</f>
        <v>0</v>
      </c>
      <c r="L46" s="3">
        <f t="shared" si="1"/>
        <v>0</v>
      </c>
      <c r="M46" s="3" t="str">
        <f t="shared" si="2"/>
        <v>Finalizada</v>
      </c>
    </row>
    <row r="47" spans="9:13" x14ac:dyDescent="0.3">
      <c r="I47" s="3">
        <f>COUNTIF('Pagos de Cuotas'!C:C,A47)</f>
        <v>0</v>
      </c>
      <c r="J47" s="3">
        <f t="shared" si="0"/>
        <v>0</v>
      </c>
      <c r="K47" s="3">
        <f>SUMIF('Pagos de Cuotas'!C:C,A47,'Pagos de Cuotas'!F:F)</f>
        <v>0</v>
      </c>
      <c r="L47" s="3">
        <f t="shared" si="1"/>
        <v>0</v>
      </c>
      <c r="M47" s="3" t="str">
        <f t="shared" si="2"/>
        <v>Finalizada</v>
      </c>
    </row>
    <row r="48" spans="9:13" x14ac:dyDescent="0.3">
      <c r="I48" s="3">
        <f>COUNTIF('Pagos de Cuotas'!C:C,A48)</f>
        <v>0</v>
      </c>
      <c r="J48" s="3">
        <f t="shared" si="0"/>
        <v>0</v>
      </c>
      <c r="K48" s="3">
        <f>SUMIF('Pagos de Cuotas'!C:C,A48,'Pagos de Cuotas'!F:F)</f>
        <v>0</v>
      </c>
      <c r="L48" s="3">
        <f t="shared" si="1"/>
        <v>0</v>
      </c>
      <c r="M48" s="3" t="str">
        <f t="shared" si="2"/>
        <v>Finalizada</v>
      </c>
    </row>
    <row r="49" spans="9:13" x14ac:dyDescent="0.3">
      <c r="I49" s="3">
        <f>COUNTIF('Pagos de Cuotas'!C:C,A49)</f>
        <v>0</v>
      </c>
      <c r="J49" s="3">
        <f t="shared" si="0"/>
        <v>0</v>
      </c>
      <c r="K49" s="3">
        <f>SUMIF('Pagos de Cuotas'!C:C,A49,'Pagos de Cuotas'!F:F)</f>
        <v>0</v>
      </c>
      <c r="L49" s="3">
        <f t="shared" si="1"/>
        <v>0</v>
      </c>
      <c r="M49" s="3" t="str">
        <f t="shared" si="2"/>
        <v>Finalizada</v>
      </c>
    </row>
    <row r="50" spans="9:13" x14ac:dyDescent="0.3">
      <c r="I50" s="3">
        <f>COUNTIF('Pagos de Cuotas'!C:C,A50)</f>
        <v>0</v>
      </c>
      <c r="J50" s="3">
        <f t="shared" si="0"/>
        <v>0</v>
      </c>
      <c r="K50" s="3">
        <f>SUMIF('Pagos de Cuotas'!C:C,A50,'Pagos de Cuotas'!F:F)</f>
        <v>0</v>
      </c>
      <c r="L50" s="3">
        <f t="shared" si="1"/>
        <v>0</v>
      </c>
      <c r="M50" s="3" t="str">
        <f t="shared" si="2"/>
        <v>Finalizada</v>
      </c>
    </row>
    <row r="51" spans="9:13" x14ac:dyDescent="0.3">
      <c r="I51" s="3">
        <f>COUNTIF('Pagos de Cuotas'!C:C,A51)</f>
        <v>0</v>
      </c>
      <c r="J51" s="3">
        <f t="shared" si="0"/>
        <v>0</v>
      </c>
      <c r="K51" s="3">
        <f>SUMIF('Pagos de Cuotas'!C:C,A51,'Pagos de Cuotas'!F:F)</f>
        <v>0</v>
      </c>
      <c r="L51" s="3">
        <f t="shared" si="1"/>
        <v>0</v>
      </c>
      <c r="M51" s="3" t="str">
        <f t="shared" si="2"/>
        <v>Finalizada</v>
      </c>
    </row>
    <row r="52" spans="9:13" x14ac:dyDescent="0.3">
      <c r="I52" s="3">
        <f>COUNTIF('Pagos de Cuotas'!C:C,A52)</f>
        <v>0</v>
      </c>
      <c r="J52" s="3">
        <f t="shared" si="0"/>
        <v>0</v>
      </c>
      <c r="K52" s="3">
        <f>SUMIF('Pagos de Cuotas'!C:C,A52,'Pagos de Cuotas'!F:F)</f>
        <v>0</v>
      </c>
      <c r="L52" s="3">
        <f t="shared" si="1"/>
        <v>0</v>
      </c>
      <c r="M52" s="3" t="str">
        <f t="shared" si="2"/>
        <v>Finalizada</v>
      </c>
    </row>
    <row r="53" spans="9:13" x14ac:dyDescent="0.3">
      <c r="I53" s="3">
        <f>COUNTIF('Pagos de Cuotas'!C:C,A53)</f>
        <v>0</v>
      </c>
      <c r="J53" s="3">
        <f t="shared" si="0"/>
        <v>0</v>
      </c>
      <c r="K53" s="3">
        <f>SUMIF('Pagos de Cuotas'!C:C,A53,'Pagos de Cuotas'!F:F)</f>
        <v>0</v>
      </c>
      <c r="L53" s="3">
        <f t="shared" si="1"/>
        <v>0</v>
      </c>
      <c r="M53" s="3" t="str">
        <f t="shared" si="2"/>
        <v>Finalizada</v>
      </c>
    </row>
    <row r="54" spans="9:13" x14ac:dyDescent="0.3">
      <c r="I54" s="3">
        <f>COUNTIF('Pagos de Cuotas'!C:C,A54)</f>
        <v>0</v>
      </c>
      <c r="J54" s="3">
        <f t="shared" si="0"/>
        <v>0</v>
      </c>
      <c r="K54" s="3">
        <f>SUMIF('Pagos de Cuotas'!C:C,A54,'Pagos de Cuotas'!F:F)</f>
        <v>0</v>
      </c>
      <c r="L54" s="3">
        <f t="shared" si="1"/>
        <v>0</v>
      </c>
      <c r="M54" s="3" t="str">
        <f t="shared" si="2"/>
        <v>Finalizada</v>
      </c>
    </row>
    <row r="55" spans="9:13" x14ac:dyDescent="0.3">
      <c r="I55" s="3">
        <f>COUNTIF('Pagos de Cuotas'!C:C,A55)</f>
        <v>0</v>
      </c>
      <c r="J55" s="3">
        <f t="shared" si="0"/>
        <v>0</v>
      </c>
      <c r="K55" s="3">
        <f>SUMIF('Pagos de Cuotas'!C:C,A55,'Pagos de Cuotas'!F:F)</f>
        <v>0</v>
      </c>
      <c r="L55" s="3">
        <f t="shared" si="1"/>
        <v>0</v>
      </c>
      <c r="M55" s="3" t="str">
        <f t="shared" si="2"/>
        <v>Finalizada</v>
      </c>
    </row>
    <row r="56" spans="9:13" x14ac:dyDescent="0.3">
      <c r="I56" s="3">
        <f>COUNTIF('Pagos de Cuotas'!C:C,A56)</f>
        <v>0</v>
      </c>
      <c r="J56" s="3">
        <f t="shared" si="0"/>
        <v>0</v>
      </c>
      <c r="K56" s="3">
        <f>SUMIF('Pagos de Cuotas'!C:C,A56,'Pagos de Cuotas'!F:F)</f>
        <v>0</v>
      </c>
      <c r="L56" s="3">
        <f t="shared" si="1"/>
        <v>0</v>
      </c>
      <c r="M56" s="3" t="str">
        <f t="shared" si="2"/>
        <v>Finalizada</v>
      </c>
    </row>
    <row r="57" spans="9:13" x14ac:dyDescent="0.3">
      <c r="I57" s="3">
        <f>COUNTIF('Pagos de Cuotas'!C:C,A57)</f>
        <v>0</v>
      </c>
      <c r="J57" s="3">
        <f t="shared" si="0"/>
        <v>0</v>
      </c>
      <c r="K57" s="3">
        <f>SUMIF('Pagos de Cuotas'!C:C,A57,'Pagos de Cuotas'!F:F)</f>
        <v>0</v>
      </c>
      <c r="L57" s="3">
        <f t="shared" si="1"/>
        <v>0</v>
      </c>
      <c r="M57" s="3" t="str">
        <f t="shared" si="2"/>
        <v>Finalizada</v>
      </c>
    </row>
    <row r="58" spans="9:13" x14ac:dyDescent="0.3">
      <c r="I58" s="3">
        <f>COUNTIF('Pagos de Cuotas'!C:C,A58)</f>
        <v>0</v>
      </c>
      <c r="J58" s="3">
        <f t="shared" si="0"/>
        <v>0</v>
      </c>
      <c r="K58" s="3">
        <f>SUMIF('Pagos de Cuotas'!C:C,A58,'Pagos de Cuotas'!F:F)</f>
        <v>0</v>
      </c>
      <c r="L58" s="3">
        <f t="shared" si="1"/>
        <v>0</v>
      </c>
      <c r="M58" s="3" t="str">
        <f t="shared" si="2"/>
        <v>Finalizada</v>
      </c>
    </row>
    <row r="59" spans="9:13" x14ac:dyDescent="0.3">
      <c r="I59" s="3">
        <f>COUNTIF('Pagos de Cuotas'!C:C,A59)</f>
        <v>0</v>
      </c>
      <c r="J59" s="3">
        <f t="shared" si="0"/>
        <v>0</v>
      </c>
      <c r="K59" s="3">
        <f>SUMIF('Pagos de Cuotas'!C:C,A59,'Pagos de Cuotas'!F:F)</f>
        <v>0</v>
      </c>
      <c r="L59" s="3">
        <f t="shared" si="1"/>
        <v>0</v>
      </c>
      <c r="M59" s="3" t="str">
        <f t="shared" si="2"/>
        <v>Finalizada</v>
      </c>
    </row>
    <row r="60" spans="9:13" x14ac:dyDescent="0.3">
      <c r="I60" s="3">
        <f>COUNTIF('Pagos de Cuotas'!C:C,A60)</f>
        <v>0</v>
      </c>
      <c r="J60" s="3">
        <f t="shared" si="0"/>
        <v>0</v>
      </c>
      <c r="K60" s="3">
        <f>SUMIF('Pagos de Cuotas'!C:C,A60,'Pagos de Cuotas'!F:F)</f>
        <v>0</v>
      </c>
      <c r="L60" s="3">
        <f t="shared" si="1"/>
        <v>0</v>
      </c>
      <c r="M60" s="3" t="str">
        <f t="shared" si="2"/>
        <v>Finalizada</v>
      </c>
    </row>
    <row r="61" spans="9:13" x14ac:dyDescent="0.3">
      <c r="I61" s="3">
        <f>COUNTIF('Pagos de Cuotas'!C:C,A61)</f>
        <v>0</v>
      </c>
      <c r="J61" s="3">
        <f t="shared" si="0"/>
        <v>0</v>
      </c>
      <c r="K61" s="3">
        <f>SUMIF('Pagos de Cuotas'!C:C,A61,'Pagos de Cuotas'!F:F)</f>
        <v>0</v>
      </c>
      <c r="L61" s="3">
        <f t="shared" si="1"/>
        <v>0</v>
      </c>
      <c r="M61" s="3" t="str">
        <f t="shared" si="2"/>
        <v>Finalizada</v>
      </c>
    </row>
    <row r="62" spans="9:13" x14ac:dyDescent="0.3">
      <c r="I62" s="3">
        <f>COUNTIF('Pagos de Cuotas'!C:C,A62)</f>
        <v>0</v>
      </c>
      <c r="J62" s="3">
        <f t="shared" si="0"/>
        <v>0</v>
      </c>
      <c r="K62" s="3">
        <f>SUMIF('Pagos de Cuotas'!C:C,A62,'Pagos de Cuotas'!F:F)</f>
        <v>0</v>
      </c>
      <c r="L62" s="3">
        <f t="shared" si="1"/>
        <v>0</v>
      </c>
      <c r="M62" s="3" t="str">
        <f t="shared" si="2"/>
        <v>Finalizada</v>
      </c>
    </row>
    <row r="63" spans="9:13" x14ac:dyDescent="0.3">
      <c r="I63" s="3">
        <f>COUNTIF('Pagos de Cuotas'!C:C,A63)</f>
        <v>0</v>
      </c>
      <c r="J63" s="3">
        <f t="shared" si="0"/>
        <v>0</v>
      </c>
      <c r="K63" s="3">
        <f>SUMIF('Pagos de Cuotas'!C:C,A63,'Pagos de Cuotas'!F:F)</f>
        <v>0</v>
      </c>
      <c r="L63" s="3">
        <f t="shared" si="1"/>
        <v>0</v>
      </c>
      <c r="M63" s="3" t="str">
        <f t="shared" si="2"/>
        <v>Finalizada</v>
      </c>
    </row>
    <row r="64" spans="9:13" x14ac:dyDescent="0.3">
      <c r="I64" s="3">
        <f>COUNTIF('Pagos de Cuotas'!C:C,A64)</f>
        <v>0</v>
      </c>
      <c r="J64" s="3">
        <f t="shared" si="0"/>
        <v>0</v>
      </c>
      <c r="K64" s="3">
        <f>SUMIF('Pagos de Cuotas'!C:C,A64,'Pagos de Cuotas'!F:F)</f>
        <v>0</v>
      </c>
      <c r="L64" s="3">
        <f t="shared" si="1"/>
        <v>0</v>
      </c>
      <c r="M64" s="3" t="str">
        <f t="shared" si="2"/>
        <v>Finalizada</v>
      </c>
    </row>
    <row r="65" spans="9:13" x14ac:dyDescent="0.3">
      <c r="I65" s="3">
        <f>COUNTIF('Pagos de Cuotas'!C:C,A65)</f>
        <v>0</v>
      </c>
      <c r="J65" s="3">
        <f t="shared" si="0"/>
        <v>0</v>
      </c>
      <c r="K65" s="3">
        <f>SUMIF('Pagos de Cuotas'!C:C,A65,'Pagos de Cuotas'!F:F)</f>
        <v>0</v>
      </c>
      <c r="L65" s="3">
        <f t="shared" si="1"/>
        <v>0</v>
      </c>
      <c r="M65" s="3" t="str">
        <f t="shared" si="2"/>
        <v>Finalizada</v>
      </c>
    </row>
    <row r="66" spans="9:13" x14ac:dyDescent="0.3">
      <c r="I66" s="3">
        <f>COUNTIF('Pagos de Cuotas'!C:C,A66)</f>
        <v>0</v>
      </c>
      <c r="J66" s="3">
        <f t="shared" ref="J66:J129" si="3">E66-I66</f>
        <v>0</v>
      </c>
      <c r="K66" s="3">
        <f>SUMIF('Pagos de Cuotas'!C:C,A66,'Pagos de Cuotas'!F:F)</f>
        <v>0</v>
      </c>
      <c r="L66" s="3">
        <f t="shared" ref="L66:L129" si="4">D66-K66</f>
        <v>0</v>
      </c>
      <c r="M66" s="3" t="str">
        <f t="shared" ref="M66:M129" si="5">IF(L66&lt;=0,"Finalizada",IF(I66=0,"Pendiente","En curso"))</f>
        <v>Finalizada</v>
      </c>
    </row>
    <row r="67" spans="9:13" x14ac:dyDescent="0.3">
      <c r="I67" s="3">
        <f>COUNTIF('Pagos de Cuotas'!C:C,A67)</f>
        <v>0</v>
      </c>
      <c r="J67" s="3">
        <f t="shared" si="3"/>
        <v>0</v>
      </c>
      <c r="K67" s="3">
        <f>SUMIF('Pagos de Cuotas'!C:C,A67,'Pagos de Cuotas'!F:F)</f>
        <v>0</v>
      </c>
      <c r="L67" s="3">
        <f t="shared" si="4"/>
        <v>0</v>
      </c>
      <c r="M67" s="3" t="str">
        <f t="shared" si="5"/>
        <v>Finalizada</v>
      </c>
    </row>
    <row r="68" spans="9:13" x14ac:dyDescent="0.3">
      <c r="I68" s="3">
        <f>COUNTIF('Pagos de Cuotas'!C:C,A68)</f>
        <v>0</v>
      </c>
      <c r="J68" s="3">
        <f t="shared" si="3"/>
        <v>0</v>
      </c>
      <c r="K68" s="3">
        <f>SUMIF('Pagos de Cuotas'!C:C,A68,'Pagos de Cuotas'!F:F)</f>
        <v>0</v>
      </c>
      <c r="L68" s="3">
        <f t="shared" si="4"/>
        <v>0</v>
      </c>
      <c r="M68" s="3" t="str">
        <f t="shared" si="5"/>
        <v>Finalizada</v>
      </c>
    </row>
    <row r="69" spans="9:13" x14ac:dyDescent="0.3">
      <c r="I69" s="3">
        <f>COUNTIF('Pagos de Cuotas'!C:C,A69)</f>
        <v>0</v>
      </c>
      <c r="J69" s="3">
        <f t="shared" si="3"/>
        <v>0</v>
      </c>
      <c r="K69" s="3">
        <f>SUMIF('Pagos de Cuotas'!C:C,A69,'Pagos de Cuotas'!F:F)</f>
        <v>0</v>
      </c>
      <c r="L69" s="3">
        <f t="shared" si="4"/>
        <v>0</v>
      </c>
      <c r="M69" s="3" t="str">
        <f t="shared" si="5"/>
        <v>Finalizada</v>
      </c>
    </row>
    <row r="70" spans="9:13" x14ac:dyDescent="0.3">
      <c r="I70" s="3">
        <f>COUNTIF('Pagos de Cuotas'!C:C,A70)</f>
        <v>0</v>
      </c>
      <c r="J70" s="3">
        <f t="shared" si="3"/>
        <v>0</v>
      </c>
      <c r="K70" s="3">
        <f>SUMIF('Pagos de Cuotas'!C:C,A70,'Pagos de Cuotas'!F:F)</f>
        <v>0</v>
      </c>
      <c r="L70" s="3">
        <f t="shared" si="4"/>
        <v>0</v>
      </c>
      <c r="M70" s="3" t="str">
        <f t="shared" si="5"/>
        <v>Finalizada</v>
      </c>
    </row>
    <row r="71" spans="9:13" x14ac:dyDescent="0.3">
      <c r="I71" s="3">
        <f>COUNTIF('Pagos de Cuotas'!C:C,A71)</f>
        <v>0</v>
      </c>
      <c r="J71" s="3">
        <f t="shared" si="3"/>
        <v>0</v>
      </c>
      <c r="K71" s="3">
        <f>SUMIF('Pagos de Cuotas'!C:C,A71,'Pagos de Cuotas'!F:F)</f>
        <v>0</v>
      </c>
      <c r="L71" s="3">
        <f t="shared" si="4"/>
        <v>0</v>
      </c>
      <c r="M71" s="3" t="str">
        <f t="shared" si="5"/>
        <v>Finalizada</v>
      </c>
    </row>
    <row r="72" spans="9:13" x14ac:dyDescent="0.3">
      <c r="I72" s="3">
        <f>COUNTIF('Pagos de Cuotas'!C:C,A72)</f>
        <v>0</v>
      </c>
      <c r="J72" s="3">
        <f t="shared" si="3"/>
        <v>0</v>
      </c>
      <c r="K72" s="3">
        <f>SUMIF('Pagos de Cuotas'!C:C,A72,'Pagos de Cuotas'!F:F)</f>
        <v>0</v>
      </c>
      <c r="L72" s="3">
        <f t="shared" si="4"/>
        <v>0</v>
      </c>
      <c r="M72" s="3" t="str">
        <f t="shared" si="5"/>
        <v>Finalizada</v>
      </c>
    </row>
    <row r="73" spans="9:13" x14ac:dyDescent="0.3">
      <c r="I73" s="3">
        <f>COUNTIF('Pagos de Cuotas'!C:C,A73)</f>
        <v>0</v>
      </c>
      <c r="J73" s="3">
        <f t="shared" si="3"/>
        <v>0</v>
      </c>
      <c r="K73" s="3">
        <f>SUMIF('Pagos de Cuotas'!C:C,A73,'Pagos de Cuotas'!F:F)</f>
        <v>0</v>
      </c>
      <c r="L73" s="3">
        <f t="shared" si="4"/>
        <v>0</v>
      </c>
      <c r="M73" s="3" t="str">
        <f t="shared" si="5"/>
        <v>Finalizada</v>
      </c>
    </row>
    <row r="74" spans="9:13" x14ac:dyDescent="0.3">
      <c r="I74" s="3">
        <f>COUNTIF('Pagos de Cuotas'!C:C,A74)</f>
        <v>0</v>
      </c>
      <c r="J74" s="3">
        <f t="shared" si="3"/>
        <v>0</v>
      </c>
      <c r="K74" s="3">
        <f>SUMIF('Pagos de Cuotas'!C:C,A74,'Pagos de Cuotas'!F:F)</f>
        <v>0</v>
      </c>
      <c r="L74" s="3">
        <f t="shared" si="4"/>
        <v>0</v>
      </c>
      <c r="M74" s="3" t="str">
        <f t="shared" si="5"/>
        <v>Finalizada</v>
      </c>
    </row>
    <row r="75" spans="9:13" x14ac:dyDescent="0.3">
      <c r="I75" s="3">
        <f>COUNTIF('Pagos de Cuotas'!C:C,A75)</f>
        <v>0</v>
      </c>
      <c r="J75" s="3">
        <f t="shared" si="3"/>
        <v>0</v>
      </c>
      <c r="K75" s="3">
        <f>SUMIF('Pagos de Cuotas'!C:C,A75,'Pagos de Cuotas'!F:F)</f>
        <v>0</v>
      </c>
      <c r="L75" s="3">
        <f t="shared" si="4"/>
        <v>0</v>
      </c>
      <c r="M75" s="3" t="str">
        <f t="shared" si="5"/>
        <v>Finalizada</v>
      </c>
    </row>
    <row r="76" spans="9:13" x14ac:dyDescent="0.3">
      <c r="I76" s="3">
        <f>COUNTIF('Pagos de Cuotas'!C:C,A76)</f>
        <v>0</v>
      </c>
      <c r="J76" s="3">
        <f t="shared" si="3"/>
        <v>0</v>
      </c>
      <c r="K76" s="3">
        <f>SUMIF('Pagos de Cuotas'!C:C,A76,'Pagos de Cuotas'!F:F)</f>
        <v>0</v>
      </c>
      <c r="L76" s="3">
        <f t="shared" si="4"/>
        <v>0</v>
      </c>
      <c r="M76" s="3" t="str">
        <f t="shared" si="5"/>
        <v>Finalizada</v>
      </c>
    </row>
    <row r="77" spans="9:13" x14ac:dyDescent="0.3">
      <c r="I77" s="3">
        <f>COUNTIF('Pagos de Cuotas'!C:C,A77)</f>
        <v>0</v>
      </c>
      <c r="J77" s="3">
        <f t="shared" si="3"/>
        <v>0</v>
      </c>
      <c r="K77" s="3">
        <f>SUMIF('Pagos de Cuotas'!C:C,A77,'Pagos de Cuotas'!F:F)</f>
        <v>0</v>
      </c>
      <c r="L77" s="3">
        <f t="shared" si="4"/>
        <v>0</v>
      </c>
      <c r="M77" s="3" t="str">
        <f t="shared" si="5"/>
        <v>Finalizada</v>
      </c>
    </row>
    <row r="78" spans="9:13" x14ac:dyDescent="0.3">
      <c r="I78" s="3">
        <f>COUNTIF('Pagos de Cuotas'!C:C,A78)</f>
        <v>0</v>
      </c>
      <c r="J78" s="3">
        <f t="shared" si="3"/>
        <v>0</v>
      </c>
      <c r="K78" s="3">
        <f>SUMIF('Pagos de Cuotas'!C:C,A78,'Pagos de Cuotas'!F:F)</f>
        <v>0</v>
      </c>
      <c r="L78" s="3">
        <f t="shared" si="4"/>
        <v>0</v>
      </c>
      <c r="M78" s="3" t="str">
        <f t="shared" si="5"/>
        <v>Finalizada</v>
      </c>
    </row>
    <row r="79" spans="9:13" x14ac:dyDescent="0.3">
      <c r="I79" s="3">
        <f>COUNTIF('Pagos de Cuotas'!C:C,A79)</f>
        <v>0</v>
      </c>
      <c r="J79" s="3">
        <f t="shared" si="3"/>
        <v>0</v>
      </c>
      <c r="K79" s="3">
        <f>SUMIF('Pagos de Cuotas'!C:C,A79,'Pagos de Cuotas'!F:F)</f>
        <v>0</v>
      </c>
      <c r="L79" s="3">
        <f t="shared" si="4"/>
        <v>0</v>
      </c>
      <c r="M79" s="3" t="str">
        <f t="shared" si="5"/>
        <v>Finalizada</v>
      </c>
    </row>
    <row r="80" spans="9:13" x14ac:dyDescent="0.3">
      <c r="I80" s="3">
        <f>COUNTIF('Pagos de Cuotas'!C:C,A80)</f>
        <v>0</v>
      </c>
      <c r="J80" s="3">
        <f t="shared" si="3"/>
        <v>0</v>
      </c>
      <c r="K80" s="3">
        <f>SUMIF('Pagos de Cuotas'!C:C,A80,'Pagos de Cuotas'!F:F)</f>
        <v>0</v>
      </c>
      <c r="L80" s="3">
        <f t="shared" si="4"/>
        <v>0</v>
      </c>
      <c r="M80" s="3" t="str">
        <f t="shared" si="5"/>
        <v>Finalizada</v>
      </c>
    </row>
    <row r="81" spans="9:13" x14ac:dyDescent="0.3">
      <c r="I81" s="3">
        <f>COUNTIF('Pagos de Cuotas'!C:C,A81)</f>
        <v>0</v>
      </c>
      <c r="J81" s="3">
        <f t="shared" si="3"/>
        <v>0</v>
      </c>
      <c r="K81" s="3">
        <f>SUMIF('Pagos de Cuotas'!C:C,A81,'Pagos de Cuotas'!F:F)</f>
        <v>0</v>
      </c>
      <c r="L81" s="3">
        <f t="shared" si="4"/>
        <v>0</v>
      </c>
      <c r="M81" s="3" t="str">
        <f t="shared" si="5"/>
        <v>Finalizada</v>
      </c>
    </row>
    <row r="82" spans="9:13" x14ac:dyDescent="0.3">
      <c r="I82" s="3">
        <f>COUNTIF('Pagos de Cuotas'!C:C,A82)</f>
        <v>0</v>
      </c>
      <c r="J82" s="3">
        <f t="shared" si="3"/>
        <v>0</v>
      </c>
      <c r="K82" s="3">
        <f>SUMIF('Pagos de Cuotas'!C:C,A82,'Pagos de Cuotas'!F:F)</f>
        <v>0</v>
      </c>
      <c r="L82" s="3">
        <f t="shared" si="4"/>
        <v>0</v>
      </c>
      <c r="M82" s="3" t="str">
        <f t="shared" si="5"/>
        <v>Finalizada</v>
      </c>
    </row>
    <row r="83" spans="9:13" x14ac:dyDescent="0.3">
      <c r="I83" s="3">
        <f>COUNTIF('Pagos de Cuotas'!C:C,A83)</f>
        <v>0</v>
      </c>
      <c r="J83" s="3">
        <f t="shared" si="3"/>
        <v>0</v>
      </c>
      <c r="K83" s="3">
        <f>SUMIF('Pagos de Cuotas'!C:C,A83,'Pagos de Cuotas'!F:F)</f>
        <v>0</v>
      </c>
      <c r="L83" s="3">
        <f t="shared" si="4"/>
        <v>0</v>
      </c>
      <c r="M83" s="3" t="str">
        <f t="shared" si="5"/>
        <v>Finalizada</v>
      </c>
    </row>
    <row r="84" spans="9:13" x14ac:dyDescent="0.3">
      <c r="I84" s="3">
        <f>COUNTIF('Pagos de Cuotas'!C:C,A84)</f>
        <v>0</v>
      </c>
      <c r="J84" s="3">
        <f t="shared" si="3"/>
        <v>0</v>
      </c>
      <c r="K84" s="3">
        <f>SUMIF('Pagos de Cuotas'!C:C,A84,'Pagos de Cuotas'!F:F)</f>
        <v>0</v>
      </c>
      <c r="L84" s="3">
        <f t="shared" si="4"/>
        <v>0</v>
      </c>
      <c r="M84" s="3" t="str">
        <f t="shared" si="5"/>
        <v>Finalizada</v>
      </c>
    </row>
    <row r="85" spans="9:13" x14ac:dyDescent="0.3">
      <c r="I85" s="3">
        <f>COUNTIF('Pagos de Cuotas'!C:C,A85)</f>
        <v>0</v>
      </c>
      <c r="J85" s="3">
        <f t="shared" si="3"/>
        <v>0</v>
      </c>
      <c r="K85" s="3">
        <f>SUMIF('Pagos de Cuotas'!C:C,A85,'Pagos de Cuotas'!F:F)</f>
        <v>0</v>
      </c>
      <c r="L85" s="3">
        <f t="shared" si="4"/>
        <v>0</v>
      </c>
      <c r="M85" s="3" t="str">
        <f t="shared" si="5"/>
        <v>Finalizada</v>
      </c>
    </row>
    <row r="86" spans="9:13" x14ac:dyDescent="0.3">
      <c r="I86" s="3">
        <f>COUNTIF('Pagos de Cuotas'!C:C,A86)</f>
        <v>0</v>
      </c>
      <c r="J86" s="3">
        <f t="shared" si="3"/>
        <v>0</v>
      </c>
      <c r="K86" s="3">
        <f>SUMIF('Pagos de Cuotas'!C:C,A86,'Pagos de Cuotas'!F:F)</f>
        <v>0</v>
      </c>
      <c r="L86" s="3">
        <f t="shared" si="4"/>
        <v>0</v>
      </c>
      <c r="M86" s="3" t="str">
        <f t="shared" si="5"/>
        <v>Finalizada</v>
      </c>
    </row>
    <row r="87" spans="9:13" x14ac:dyDescent="0.3">
      <c r="I87" s="3">
        <f>COUNTIF('Pagos de Cuotas'!C:C,A87)</f>
        <v>0</v>
      </c>
      <c r="J87" s="3">
        <f t="shared" si="3"/>
        <v>0</v>
      </c>
      <c r="K87" s="3">
        <f>SUMIF('Pagos de Cuotas'!C:C,A87,'Pagos de Cuotas'!F:F)</f>
        <v>0</v>
      </c>
      <c r="L87" s="3">
        <f t="shared" si="4"/>
        <v>0</v>
      </c>
      <c r="M87" s="3" t="str">
        <f t="shared" si="5"/>
        <v>Finalizada</v>
      </c>
    </row>
    <row r="88" spans="9:13" x14ac:dyDescent="0.3">
      <c r="I88" s="3">
        <f>COUNTIF('Pagos de Cuotas'!C:C,A88)</f>
        <v>0</v>
      </c>
      <c r="J88" s="3">
        <f t="shared" si="3"/>
        <v>0</v>
      </c>
      <c r="K88" s="3">
        <f>SUMIF('Pagos de Cuotas'!C:C,A88,'Pagos de Cuotas'!F:F)</f>
        <v>0</v>
      </c>
      <c r="L88" s="3">
        <f t="shared" si="4"/>
        <v>0</v>
      </c>
      <c r="M88" s="3" t="str">
        <f t="shared" si="5"/>
        <v>Finalizada</v>
      </c>
    </row>
    <row r="89" spans="9:13" x14ac:dyDescent="0.3">
      <c r="I89" s="3">
        <f>COUNTIF('Pagos de Cuotas'!C:C,A89)</f>
        <v>0</v>
      </c>
      <c r="J89" s="3">
        <f t="shared" si="3"/>
        <v>0</v>
      </c>
      <c r="K89" s="3">
        <f>SUMIF('Pagos de Cuotas'!C:C,A89,'Pagos de Cuotas'!F:F)</f>
        <v>0</v>
      </c>
      <c r="L89" s="3">
        <f t="shared" si="4"/>
        <v>0</v>
      </c>
      <c r="M89" s="3" t="str">
        <f t="shared" si="5"/>
        <v>Finalizada</v>
      </c>
    </row>
    <row r="90" spans="9:13" x14ac:dyDescent="0.3">
      <c r="I90" s="3">
        <f>COUNTIF('Pagos de Cuotas'!C:C,A90)</f>
        <v>0</v>
      </c>
      <c r="J90" s="3">
        <f t="shared" si="3"/>
        <v>0</v>
      </c>
      <c r="K90" s="3">
        <f>SUMIF('Pagos de Cuotas'!C:C,A90,'Pagos de Cuotas'!F:F)</f>
        <v>0</v>
      </c>
      <c r="L90" s="3">
        <f t="shared" si="4"/>
        <v>0</v>
      </c>
      <c r="M90" s="3" t="str">
        <f t="shared" si="5"/>
        <v>Finalizada</v>
      </c>
    </row>
    <row r="91" spans="9:13" x14ac:dyDescent="0.3">
      <c r="I91" s="3">
        <f>COUNTIF('Pagos de Cuotas'!C:C,A91)</f>
        <v>0</v>
      </c>
      <c r="J91" s="3">
        <f t="shared" si="3"/>
        <v>0</v>
      </c>
      <c r="K91" s="3">
        <f>SUMIF('Pagos de Cuotas'!C:C,A91,'Pagos de Cuotas'!F:F)</f>
        <v>0</v>
      </c>
      <c r="L91" s="3">
        <f t="shared" si="4"/>
        <v>0</v>
      </c>
      <c r="M91" s="3" t="str">
        <f t="shared" si="5"/>
        <v>Finalizada</v>
      </c>
    </row>
    <row r="92" spans="9:13" x14ac:dyDescent="0.3">
      <c r="I92" s="3">
        <f>COUNTIF('Pagos de Cuotas'!C:C,A92)</f>
        <v>0</v>
      </c>
      <c r="J92" s="3">
        <f t="shared" si="3"/>
        <v>0</v>
      </c>
      <c r="K92" s="3">
        <f>SUMIF('Pagos de Cuotas'!C:C,A92,'Pagos de Cuotas'!F:F)</f>
        <v>0</v>
      </c>
      <c r="L92" s="3">
        <f t="shared" si="4"/>
        <v>0</v>
      </c>
      <c r="M92" s="3" t="str">
        <f t="shared" si="5"/>
        <v>Finalizada</v>
      </c>
    </row>
    <row r="93" spans="9:13" x14ac:dyDescent="0.3">
      <c r="I93" s="3">
        <f>COUNTIF('Pagos de Cuotas'!C:C,A93)</f>
        <v>0</v>
      </c>
      <c r="J93" s="3">
        <f t="shared" si="3"/>
        <v>0</v>
      </c>
      <c r="K93" s="3">
        <f>SUMIF('Pagos de Cuotas'!C:C,A93,'Pagos de Cuotas'!F:F)</f>
        <v>0</v>
      </c>
      <c r="L93" s="3">
        <f t="shared" si="4"/>
        <v>0</v>
      </c>
      <c r="M93" s="3" t="str">
        <f t="shared" si="5"/>
        <v>Finalizada</v>
      </c>
    </row>
    <row r="94" spans="9:13" x14ac:dyDescent="0.3">
      <c r="I94" s="3">
        <f>COUNTIF('Pagos de Cuotas'!C:C,A94)</f>
        <v>0</v>
      </c>
      <c r="J94" s="3">
        <f t="shared" si="3"/>
        <v>0</v>
      </c>
      <c r="K94" s="3">
        <f>SUMIF('Pagos de Cuotas'!C:C,A94,'Pagos de Cuotas'!F:F)</f>
        <v>0</v>
      </c>
      <c r="L94" s="3">
        <f t="shared" si="4"/>
        <v>0</v>
      </c>
      <c r="M94" s="3" t="str">
        <f t="shared" si="5"/>
        <v>Finalizada</v>
      </c>
    </row>
    <row r="95" spans="9:13" x14ac:dyDescent="0.3">
      <c r="I95" s="3">
        <f>COUNTIF('Pagos de Cuotas'!C:C,A95)</f>
        <v>0</v>
      </c>
      <c r="J95" s="3">
        <f t="shared" si="3"/>
        <v>0</v>
      </c>
      <c r="K95" s="3">
        <f>SUMIF('Pagos de Cuotas'!C:C,A95,'Pagos de Cuotas'!F:F)</f>
        <v>0</v>
      </c>
      <c r="L95" s="3">
        <f t="shared" si="4"/>
        <v>0</v>
      </c>
      <c r="M95" s="3" t="str">
        <f t="shared" si="5"/>
        <v>Finalizada</v>
      </c>
    </row>
    <row r="96" spans="9:13" x14ac:dyDescent="0.3">
      <c r="I96" s="3">
        <f>COUNTIF('Pagos de Cuotas'!C:C,A96)</f>
        <v>0</v>
      </c>
      <c r="J96" s="3">
        <f t="shared" si="3"/>
        <v>0</v>
      </c>
      <c r="K96" s="3">
        <f>SUMIF('Pagos de Cuotas'!C:C,A96,'Pagos de Cuotas'!F:F)</f>
        <v>0</v>
      </c>
      <c r="L96" s="3">
        <f t="shared" si="4"/>
        <v>0</v>
      </c>
      <c r="M96" s="3" t="str">
        <f t="shared" si="5"/>
        <v>Finalizada</v>
      </c>
    </row>
    <row r="97" spans="9:13" x14ac:dyDescent="0.3">
      <c r="I97" s="3">
        <f>COUNTIF('Pagos de Cuotas'!C:C,A97)</f>
        <v>0</v>
      </c>
      <c r="J97" s="3">
        <f t="shared" si="3"/>
        <v>0</v>
      </c>
      <c r="K97" s="3">
        <f>SUMIF('Pagos de Cuotas'!C:C,A97,'Pagos de Cuotas'!F:F)</f>
        <v>0</v>
      </c>
      <c r="L97" s="3">
        <f t="shared" si="4"/>
        <v>0</v>
      </c>
      <c r="M97" s="3" t="str">
        <f t="shared" si="5"/>
        <v>Finalizada</v>
      </c>
    </row>
    <row r="98" spans="9:13" x14ac:dyDescent="0.3">
      <c r="I98" s="3">
        <f>COUNTIF('Pagos de Cuotas'!C:C,A98)</f>
        <v>0</v>
      </c>
      <c r="J98" s="3">
        <f t="shared" si="3"/>
        <v>0</v>
      </c>
      <c r="K98" s="3">
        <f>SUMIF('Pagos de Cuotas'!C:C,A98,'Pagos de Cuotas'!F:F)</f>
        <v>0</v>
      </c>
      <c r="L98" s="3">
        <f t="shared" si="4"/>
        <v>0</v>
      </c>
      <c r="M98" s="3" t="str">
        <f t="shared" si="5"/>
        <v>Finalizada</v>
      </c>
    </row>
    <row r="99" spans="9:13" x14ac:dyDescent="0.3">
      <c r="I99" s="3">
        <f>COUNTIF('Pagos de Cuotas'!C:C,A99)</f>
        <v>0</v>
      </c>
      <c r="J99" s="3">
        <f t="shared" si="3"/>
        <v>0</v>
      </c>
      <c r="K99" s="3">
        <f>SUMIF('Pagos de Cuotas'!C:C,A99,'Pagos de Cuotas'!F:F)</f>
        <v>0</v>
      </c>
      <c r="L99" s="3">
        <f t="shared" si="4"/>
        <v>0</v>
      </c>
      <c r="M99" s="3" t="str">
        <f t="shared" si="5"/>
        <v>Finalizada</v>
      </c>
    </row>
    <row r="100" spans="9:13" x14ac:dyDescent="0.3">
      <c r="I100" s="3">
        <f>COUNTIF('Pagos de Cuotas'!C:C,A100)</f>
        <v>0</v>
      </c>
      <c r="J100" s="3">
        <f t="shared" si="3"/>
        <v>0</v>
      </c>
      <c r="K100" s="3">
        <f>SUMIF('Pagos de Cuotas'!C:C,A100,'Pagos de Cuotas'!F:F)</f>
        <v>0</v>
      </c>
      <c r="L100" s="3">
        <f t="shared" si="4"/>
        <v>0</v>
      </c>
      <c r="M100" s="3" t="str">
        <f t="shared" si="5"/>
        <v>Finalizada</v>
      </c>
    </row>
    <row r="101" spans="9:13" x14ac:dyDescent="0.3">
      <c r="I101" s="3">
        <f>COUNTIF('Pagos de Cuotas'!C:C,A101)</f>
        <v>0</v>
      </c>
      <c r="J101" s="3">
        <f t="shared" si="3"/>
        <v>0</v>
      </c>
      <c r="K101" s="3">
        <f>SUMIF('Pagos de Cuotas'!C:C,A101,'Pagos de Cuotas'!F:F)</f>
        <v>0</v>
      </c>
      <c r="L101" s="3">
        <f t="shared" si="4"/>
        <v>0</v>
      </c>
      <c r="M101" s="3" t="str">
        <f t="shared" si="5"/>
        <v>Finalizada</v>
      </c>
    </row>
    <row r="102" spans="9:13" x14ac:dyDescent="0.3">
      <c r="I102" s="3">
        <f>COUNTIF('Pagos de Cuotas'!C:C,A102)</f>
        <v>0</v>
      </c>
      <c r="J102" s="3">
        <f t="shared" si="3"/>
        <v>0</v>
      </c>
      <c r="K102" s="3">
        <f>SUMIF('Pagos de Cuotas'!C:C,A102,'Pagos de Cuotas'!F:F)</f>
        <v>0</v>
      </c>
      <c r="L102" s="3">
        <f t="shared" si="4"/>
        <v>0</v>
      </c>
      <c r="M102" s="3" t="str">
        <f t="shared" si="5"/>
        <v>Finalizada</v>
      </c>
    </row>
    <row r="103" spans="9:13" x14ac:dyDescent="0.3">
      <c r="I103" s="3">
        <f>COUNTIF('Pagos de Cuotas'!C:C,A103)</f>
        <v>0</v>
      </c>
      <c r="J103" s="3">
        <f t="shared" si="3"/>
        <v>0</v>
      </c>
      <c r="K103" s="3">
        <f>SUMIF('Pagos de Cuotas'!C:C,A103,'Pagos de Cuotas'!F:F)</f>
        <v>0</v>
      </c>
      <c r="L103" s="3">
        <f t="shared" si="4"/>
        <v>0</v>
      </c>
      <c r="M103" s="3" t="str">
        <f t="shared" si="5"/>
        <v>Finalizada</v>
      </c>
    </row>
    <row r="104" spans="9:13" x14ac:dyDescent="0.3">
      <c r="I104" s="3">
        <f>COUNTIF('Pagos de Cuotas'!C:C,A104)</f>
        <v>0</v>
      </c>
      <c r="J104" s="3">
        <f t="shared" si="3"/>
        <v>0</v>
      </c>
      <c r="K104" s="3">
        <f>SUMIF('Pagos de Cuotas'!C:C,A104,'Pagos de Cuotas'!F:F)</f>
        <v>0</v>
      </c>
      <c r="L104" s="3">
        <f t="shared" si="4"/>
        <v>0</v>
      </c>
      <c r="M104" s="3" t="str">
        <f t="shared" si="5"/>
        <v>Finalizada</v>
      </c>
    </row>
    <row r="105" spans="9:13" x14ac:dyDescent="0.3">
      <c r="I105" s="3">
        <f>COUNTIF('Pagos de Cuotas'!C:C,A105)</f>
        <v>0</v>
      </c>
      <c r="J105" s="3">
        <f t="shared" si="3"/>
        <v>0</v>
      </c>
      <c r="K105" s="3">
        <f>SUMIF('Pagos de Cuotas'!C:C,A105,'Pagos de Cuotas'!F:F)</f>
        <v>0</v>
      </c>
      <c r="L105" s="3">
        <f t="shared" si="4"/>
        <v>0</v>
      </c>
      <c r="M105" s="3" t="str">
        <f t="shared" si="5"/>
        <v>Finalizada</v>
      </c>
    </row>
    <row r="106" spans="9:13" x14ac:dyDescent="0.3">
      <c r="I106" s="3">
        <f>COUNTIF('Pagos de Cuotas'!C:C,A106)</f>
        <v>0</v>
      </c>
      <c r="J106" s="3">
        <f t="shared" si="3"/>
        <v>0</v>
      </c>
      <c r="K106" s="3">
        <f>SUMIF('Pagos de Cuotas'!C:C,A106,'Pagos de Cuotas'!F:F)</f>
        <v>0</v>
      </c>
      <c r="L106" s="3">
        <f t="shared" si="4"/>
        <v>0</v>
      </c>
      <c r="M106" s="3" t="str">
        <f t="shared" si="5"/>
        <v>Finalizada</v>
      </c>
    </row>
    <row r="107" spans="9:13" x14ac:dyDescent="0.3">
      <c r="I107" s="3">
        <f>COUNTIF('Pagos de Cuotas'!C:C,A107)</f>
        <v>0</v>
      </c>
      <c r="J107" s="3">
        <f t="shared" si="3"/>
        <v>0</v>
      </c>
      <c r="K107" s="3">
        <f>SUMIF('Pagos de Cuotas'!C:C,A107,'Pagos de Cuotas'!F:F)</f>
        <v>0</v>
      </c>
      <c r="L107" s="3">
        <f t="shared" si="4"/>
        <v>0</v>
      </c>
      <c r="M107" s="3" t="str">
        <f t="shared" si="5"/>
        <v>Finalizada</v>
      </c>
    </row>
    <row r="108" spans="9:13" x14ac:dyDescent="0.3">
      <c r="I108" s="3">
        <f>COUNTIF('Pagos de Cuotas'!C:C,A108)</f>
        <v>0</v>
      </c>
      <c r="J108" s="3">
        <f t="shared" si="3"/>
        <v>0</v>
      </c>
      <c r="K108" s="3">
        <f>SUMIF('Pagos de Cuotas'!C:C,A108,'Pagos de Cuotas'!F:F)</f>
        <v>0</v>
      </c>
      <c r="L108" s="3">
        <f t="shared" si="4"/>
        <v>0</v>
      </c>
      <c r="M108" s="3" t="str">
        <f t="shared" si="5"/>
        <v>Finalizada</v>
      </c>
    </row>
    <row r="109" spans="9:13" x14ac:dyDescent="0.3">
      <c r="I109" s="3">
        <f>COUNTIF('Pagos de Cuotas'!C:C,A109)</f>
        <v>0</v>
      </c>
      <c r="J109" s="3">
        <f t="shared" si="3"/>
        <v>0</v>
      </c>
      <c r="K109" s="3">
        <f>SUMIF('Pagos de Cuotas'!C:C,A109,'Pagos de Cuotas'!F:F)</f>
        <v>0</v>
      </c>
      <c r="L109" s="3">
        <f t="shared" si="4"/>
        <v>0</v>
      </c>
      <c r="M109" s="3" t="str">
        <f t="shared" si="5"/>
        <v>Finalizada</v>
      </c>
    </row>
    <row r="110" spans="9:13" x14ac:dyDescent="0.3">
      <c r="I110" s="3">
        <f>COUNTIF('Pagos de Cuotas'!C:C,A110)</f>
        <v>0</v>
      </c>
      <c r="J110" s="3">
        <f t="shared" si="3"/>
        <v>0</v>
      </c>
      <c r="K110" s="3">
        <f>SUMIF('Pagos de Cuotas'!C:C,A110,'Pagos de Cuotas'!F:F)</f>
        <v>0</v>
      </c>
      <c r="L110" s="3">
        <f t="shared" si="4"/>
        <v>0</v>
      </c>
      <c r="M110" s="3" t="str">
        <f t="shared" si="5"/>
        <v>Finalizada</v>
      </c>
    </row>
    <row r="111" spans="9:13" x14ac:dyDescent="0.3">
      <c r="I111" s="3">
        <f>COUNTIF('Pagos de Cuotas'!C:C,A111)</f>
        <v>0</v>
      </c>
      <c r="J111" s="3">
        <f t="shared" si="3"/>
        <v>0</v>
      </c>
      <c r="K111" s="3">
        <f>SUMIF('Pagos de Cuotas'!C:C,A111,'Pagos de Cuotas'!F:F)</f>
        <v>0</v>
      </c>
      <c r="L111" s="3">
        <f t="shared" si="4"/>
        <v>0</v>
      </c>
      <c r="M111" s="3" t="str">
        <f t="shared" si="5"/>
        <v>Finalizada</v>
      </c>
    </row>
    <row r="112" spans="9:13" x14ac:dyDescent="0.3">
      <c r="I112" s="3">
        <f>COUNTIF('Pagos de Cuotas'!C:C,A112)</f>
        <v>0</v>
      </c>
      <c r="J112" s="3">
        <f t="shared" si="3"/>
        <v>0</v>
      </c>
      <c r="K112" s="3">
        <f>SUMIF('Pagos de Cuotas'!C:C,A112,'Pagos de Cuotas'!F:F)</f>
        <v>0</v>
      </c>
      <c r="L112" s="3">
        <f t="shared" si="4"/>
        <v>0</v>
      </c>
      <c r="M112" s="3" t="str">
        <f t="shared" si="5"/>
        <v>Finalizada</v>
      </c>
    </row>
    <row r="113" spans="9:13" x14ac:dyDescent="0.3">
      <c r="I113" s="3">
        <f>COUNTIF('Pagos de Cuotas'!C:C,A113)</f>
        <v>0</v>
      </c>
      <c r="J113" s="3">
        <f t="shared" si="3"/>
        <v>0</v>
      </c>
      <c r="K113" s="3">
        <f>SUMIF('Pagos de Cuotas'!C:C,A113,'Pagos de Cuotas'!F:F)</f>
        <v>0</v>
      </c>
      <c r="L113" s="3">
        <f t="shared" si="4"/>
        <v>0</v>
      </c>
      <c r="M113" s="3" t="str">
        <f t="shared" si="5"/>
        <v>Finalizada</v>
      </c>
    </row>
    <row r="114" spans="9:13" x14ac:dyDescent="0.3">
      <c r="I114" s="3">
        <f>COUNTIF('Pagos de Cuotas'!C:C,A114)</f>
        <v>0</v>
      </c>
      <c r="J114" s="3">
        <f t="shared" si="3"/>
        <v>0</v>
      </c>
      <c r="K114" s="3">
        <f>SUMIF('Pagos de Cuotas'!C:C,A114,'Pagos de Cuotas'!F:F)</f>
        <v>0</v>
      </c>
      <c r="L114" s="3">
        <f t="shared" si="4"/>
        <v>0</v>
      </c>
      <c r="M114" s="3" t="str">
        <f t="shared" si="5"/>
        <v>Finalizada</v>
      </c>
    </row>
    <row r="115" spans="9:13" x14ac:dyDescent="0.3">
      <c r="I115" s="3">
        <f>COUNTIF('Pagos de Cuotas'!C:C,A115)</f>
        <v>0</v>
      </c>
      <c r="J115" s="3">
        <f t="shared" si="3"/>
        <v>0</v>
      </c>
      <c r="K115" s="3">
        <f>SUMIF('Pagos de Cuotas'!C:C,A115,'Pagos de Cuotas'!F:F)</f>
        <v>0</v>
      </c>
      <c r="L115" s="3">
        <f t="shared" si="4"/>
        <v>0</v>
      </c>
      <c r="M115" s="3" t="str">
        <f t="shared" si="5"/>
        <v>Finalizada</v>
      </c>
    </row>
    <row r="116" spans="9:13" x14ac:dyDescent="0.3">
      <c r="I116" s="3">
        <f>COUNTIF('Pagos de Cuotas'!C:C,A116)</f>
        <v>0</v>
      </c>
      <c r="J116" s="3">
        <f t="shared" si="3"/>
        <v>0</v>
      </c>
      <c r="K116" s="3">
        <f>SUMIF('Pagos de Cuotas'!C:C,A116,'Pagos de Cuotas'!F:F)</f>
        <v>0</v>
      </c>
      <c r="L116" s="3">
        <f t="shared" si="4"/>
        <v>0</v>
      </c>
      <c r="M116" s="3" t="str">
        <f t="shared" si="5"/>
        <v>Finalizada</v>
      </c>
    </row>
    <row r="117" spans="9:13" x14ac:dyDescent="0.3">
      <c r="I117" s="3">
        <f>COUNTIF('Pagos de Cuotas'!C:C,A117)</f>
        <v>0</v>
      </c>
      <c r="J117" s="3">
        <f t="shared" si="3"/>
        <v>0</v>
      </c>
      <c r="K117" s="3">
        <f>SUMIF('Pagos de Cuotas'!C:C,A117,'Pagos de Cuotas'!F:F)</f>
        <v>0</v>
      </c>
      <c r="L117" s="3">
        <f t="shared" si="4"/>
        <v>0</v>
      </c>
      <c r="M117" s="3" t="str">
        <f t="shared" si="5"/>
        <v>Finalizada</v>
      </c>
    </row>
    <row r="118" spans="9:13" x14ac:dyDescent="0.3">
      <c r="I118" s="3">
        <f>COUNTIF('Pagos de Cuotas'!C:C,A118)</f>
        <v>0</v>
      </c>
      <c r="J118" s="3">
        <f t="shared" si="3"/>
        <v>0</v>
      </c>
      <c r="K118" s="3">
        <f>SUMIF('Pagos de Cuotas'!C:C,A118,'Pagos de Cuotas'!F:F)</f>
        <v>0</v>
      </c>
      <c r="L118" s="3">
        <f t="shared" si="4"/>
        <v>0</v>
      </c>
      <c r="M118" s="3" t="str">
        <f t="shared" si="5"/>
        <v>Finalizada</v>
      </c>
    </row>
    <row r="119" spans="9:13" x14ac:dyDescent="0.3">
      <c r="I119" s="3">
        <f>COUNTIF('Pagos de Cuotas'!C:C,A119)</f>
        <v>0</v>
      </c>
      <c r="J119" s="3">
        <f t="shared" si="3"/>
        <v>0</v>
      </c>
      <c r="K119" s="3">
        <f>SUMIF('Pagos de Cuotas'!C:C,A119,'Pagos de Cuotas'!F:F)</f>
        <v>0</v>
      </c>
      <c r="L119" s="3">
        <f t="shared" si="4"/>
        <v>0</v>
      </c>
      <c r="M119" s="3" t="str">
        <f t="shared" si="5"/>
        <v>Finalizada</v>
      </c>
    </row>
    <row r="120" spans="9:13" x14ac:dyDescent="0.3">
      <c r="I120" s="3">
        <f>COUNTIF('Pagos de Cuotas'!C:C,A120)</f>
        <v>0</v>
      </c>
      <c r="J120" s="3">
        <f t="shared" si="3"/>
        <v>0</v>
      </c>
      <c r="K120" s="3">
        <f>SUMIF('Pagos de Cuotas'!C:C,A120,'Pagos de Cuotas'!F:F)</f>
        <v>0</v>
      </c>
      <c r="L120" s="3">
        <f t="shared" si="4"/>
        <v>0</v>
      </c>
      <c r="M120" s="3" t="str">
        <f t="shared" si="5"/>
        <v>Finalizada</v>
      </c>
    </row>
    <row r="121" spans="9:13" x14ac:dyDescent="0.3">
      <c r="I121" s="3">
        <f>COUNTIF('Pagos de Cuotas'!C:C,A121)</f>
        <v>0</v>
      </c>
      <c r="J121" s="3">
        <f t="shared" si="3"/>
        <v>0</v>
      </c>
      <c r="K121" s="3">
        <f>SUMIF('Pagos de Cuotas'!C:C,A121,'Pagos de Cuotas'!F:F)</f>
        <v>0</v>
      </c>
      <c r="L121" s="3">
        <f t="shared" si="4"/>
        <v>0</v>
      </c>
      <c r="M121" s="3" t="str">
        <f t="shared" si="5"/>
        <v>Finalizada</v>
      </c>
    </row>
    <row r="122" spans="9:13" x14ac:dyDescent="0.3">
      <c r="I122" s="3">
        <f>COUNTIF('Pagos de Cuotas'!C:C,A122)</f>
        <v>0</v>
      </c>
      <c r="J122" s="3">
        <f t="shared" si="3"/>
        <v>0</v>
      </c>
      <c r="K122" s="3">
        <f>SUMIF('Pagos de Cuotas'!C:C,A122,'Pagos de Cuotas'!F:F)</f>
        <v>0</v>
      </c>
      <c r="L122" s="3">
        <f t="shared" si="4"/>
        <v>0</v>
      </c>
      <c r="M122" s="3" t="str">
        <f t="shared" si="5"/>
        <v>Finalizada</v>
      </c>
    </row>
    <row r="123" spans="9:13" x14ac:dyDescent="0.3">
      <c r="I123" s="3">
        <f>COUNTIF('Pagos de Cuotas'!C:C,A123)</f>
        <v>0</v>
      </c>
      <c r="J123" s="3">
        <f t="shared" si="3"/>
        <v>0</v>
      </c>
      <c r="K123" s="3">
        <f>SUMIF('Pagos de Cuotas'!C:C,A123,'Pagos de Cuotas'!F:F)</f>
        <v>0</v>
      </c>
      <c r="L123" s="3">
        <f t="shared" si="4"/>
        <v>0</v>
      </c>
      <c r="M123" s="3" t="str">
        <f t="shared" si="5"/>
        <v>Finalizada</v>
      </c>
    </row>
    <row r="124" spans="9:13" x14ac:dyDescent="0.3">
      <c r="I124" s="3">
        <f>COUNTIF('Pagos de Cuotas'!C:C,A124)</f>
        <v>0</v>
      </c>
      <c r="J124" s="3">
        <f t="shared" si="3"/>
        <v>0</v>
      </c>
      <c r="K124" s="3">
        <f>SUMIF('Pagos de Cuotas'!C:C,A124,'Pagos de Cuotas'!F:F)</f>
        <v>0</v>
      </c>
      <c r="L124" s="3">
        <f t="shared" si="4"/>
        <v>0</v>
      </c>
      <c r="M124" s="3" t="str">
        <f t="shared" si="5"/>
        <v>Finalizada</v>
      </c>
    </row>
    <row r="125" spans="9:13" x14ac:dyDescent="0.3">
      <c r="I125" s="3">
        <f>COUNTIF('Pagos de Cuotas'!C:C,A125)</f>
        <v>0</v>
      </c>
      <c r="J125" s="3">
        <f t="shared" si="3"/>
        <v>0</v>
      </c>
      <c r="K125" s="3">
        <f>SUMIF('Pagos de Cuotas'!C:C,A125,'Pagos de Cuotas'!F:F)</f>
        <v>0</v>
      </c>
      <c r="L125" s="3">
        <f t="shared" si="4"/>
        <v>0</v>
      </c>
      <c r="M125" s="3" t="str">
        <f t="shared" si="5"/>
        <v>Finalizada</v>
      </c>
    </row>
    <row r="126" spans="9:13" x14ac:dyDescent="0.3">
      <c r="I126" s="3">
        <f>COUNTIF('Pagos de Cuotas'!C:C,A126)</f>
        <v>0</v>
      </c>
      <c r="J126" s="3">
        <f t="shared" si="3"/>
        <v>0</v>
      </c>
      <c r="K126" s="3">
        <f>SUMIF('Pagos de Cuotas'!C:C,A126,'Pagos de Cuotas'!F:F)</f>
        <v>0</v>
      </c>
      <c r="L126" s="3">
        <f t="shared" si="4"/>
        <v>0</v>
      </c>
      <c r="M126" s="3" t="str">
        <f t="shared" si="5"/>
        <v>Finalizada</v>
      </c>
    </row>
    <row r="127" spans="9:13" x14ac:dyDescent="0.3">
      <c r="I127" s="3">
        <f>COUNTIF('Pagos de Cuotas'!C:C,A127)</f>
        <v>0</v>
      </c>
      <c r="J127" s="3">
        <f t="shared" si="3"/>
        <v>0</v>
      </c>
      <c r="K127" s="3">
        <f>SUMIF('Pagos de Cuotas'!C:C,A127,'Pagos de Cuotas'!F:F)</f>
        <v>0</v>
      </c>
      <c r="L127" s="3">
        <f t="shared" si="4"/>
        <v>0</v>
      </c>
      <c r="M127" s="3" t="str">
        <f t="shared" si="5"/>
        <v>Finalizada</v>
      </c>
    </row>
    <row r="128" spans="9:13" x14ac:dyDescent="0.3">
      <c r="I128" s="3">
        <f>COUNTIF('Pagos de Cuotas'!C:C,A128)</f>
        <v>0</v>
      </c>
      <c r="J128" s="3">
        <f t="shared" si="3"/>
        <v>0</v>
      </c>
      <c r="K128" s="3">
        <f>SUMIF('Pagos de Cuotas'!C:C,A128,'Pagos de Cuotas'!F:F)</f>
        <v>0</v>
      </c>
      <c r="L128" s="3">
        <f t="shared" si="4"/>
        <v>0</v>
      </c>
      <c r="M128" s="3" t="str">
        <f t="shared" si="5"/>
        <v>Finalizada</v>
      </c>
    </row>
    <row r="129" spans="9:13" x14ac:dyDescent="0.3">
      <c r="I129" s="3">
        <f>COUNTIF('Pagos de Cuotas'!C:C,A129)</f>
        <v>0</v>
      </c>
      <c r="J129" s="3">
        <f t="shared" si="3"/>
        <v>0</v>
      </c>
      <c r="K129" s="3">
        <f>SUMIF('Pagos de Cuotas'!C:C,A129,'Pagos de Cuotas'!F:F)</f>
        <v>0</v>
      </c>
      <c r="L129" s="3">
        <f t="shared" si="4"/>
        <v>0</v>
      </c>
      <c r="M129" s="3" t="str">
        <f t="shared" si="5"/>
        <v>Finalizada</v>
      </c>
    </row>
    <row r="130" spans="9:13" x14ac:dyDescent="0.3">
      <c r="I130" s="3">
        <f>COUNTIF('Pagos de Cuotas'!C:C,A130)</f>
        <v>0</v>
      </c>
      <c r="J130" s="3">
        <f t="shared" ref="J130:J193" si="6">E130-I130</f>
        <v>0</v>
      </c>
      <c r="K130" s="3">
        <f>SUMIF('Pagos de Cuotas'!C:C,A130,'Pagos de Cuotas'!F:F)</f>
        <v>0</v>
      </c>
      <c r="L130" s="3">
        <f t="shared" ref="L130:L193" si="7">D130-K130</f>
        <v>0</v>
      </c>
      <c r="M130" s="3" t="str">
        <f t="shared" ref="M130:M193" si="8">IF(L130&lt;=0,"Finalizada",IF(I130=0,"Pendiente","En curso"))</f>
        <v>Finalizada</v>
      </c>
    </row>
    <row r="131" spans="9:13" x14ac:dyDescent="0.3">
      <c r="I131" s="3">
        <f>COUNTIF('Pagos de Cuotas'!C:C,A131)</f>
        <v>0</v>
      </c>
      <c r="J131" s="3">
        <f t="shared" si="6"/>
        <v>0</v>
      </c>
      <c r="K131" s="3">
        <f>SUMIF('Pagos de Cuotas'!C:C,A131,'Pagos de Cuotas'!F:F)</f>
        <v>0</v>
      </c>
      <c r="L131" s="3">
        <f t="shared" si="7"/>
        <v>0</v>
      </c>
      <c r="M131" s="3" t="str">
        <f t="shared" si="8"/>
        <v>Finalizada</v>
      </c>
    </row>
    <row r="132" spans="9:13" x14ac:dyDescent="0.3">
      <c r="I132" s="3">
        <f>COUNTIF('Pagos de Cuotas'!C:C,A132)</f>
        <v>0</v>
      </c>
      <c r="J132" s="3">
        <f t="shared" si="6"/>
        <v>0</v>
      </c>
      <c r="K132" s="3">
        <f>SUMIF('Pagos de Cuotas'!C:C,A132,'Pagos de Cuotas'!F:F)</f>
        <v>0</v>
      </c>
      <c r="L132" s="3">
        <f t="shared" si="7"/>
        <v>0</v>
      </c>
      <c r="M132" s="3" t="str">
        <f t="shared" si="8"/>
        <v>Finalizada</v>
      </c>
    </row>
    <row r="133" spans="9:13" x14ac:dyDescent="0.3">
      <c r="I133" s="3">
        <f>COUNTIF('Pagos de Cuotas'!C:C,A133)</f>
        <v>0</v>
      </c>
      <c r="J133" s="3">
        <f t="shared" si="6"/>
        <v>0</v>
      </c>
      <c r="K133" s="3">
        <f>SUMIF('Pagos de Cuotas'!C:C,A133,'Pagos de Cuotas'!F:F)</f>
        <v>0</v>
      </c>
      <c r="L133" s="3">
        <f t="shared" si="7"/>
        <v>0</v>
      </c>
      <c r="M133" s="3" t="str">
        <f t="shared" si="8"/>
        <v>Finalizada</v>
      </c>
    </row>
    <row r="134" spans="9:13" x14ac:dyDescent="0.3">
      <c r="I134" s="3">
        <f>COUNTIF('Pagos de Cuotas'!C:C,A134)</f>
        <v>0</v>
      </c>
      <c r="J134" s="3">
        <f t="shared" si="6"/>
        <v>0</v>
      </c>
      <c r="K134" s="3">
        <f>SUMIF('Pagos de Cuotas'!C:C,A134,'Pagos de Cuotas'!F:F)</f>
        <v>0</v>
      </c>
      <c r="L134" s="3">
        <f t="shared" si="7"/>
        <v>0</v>
      </c>
      <c r="M134" s="3" t="str">
        <f t="shared" si="8"/>
        <v>Finalizada</v>
      </c>
    </row>
    <row r="135" spans="9:13" x14ac:dyDescent="0.3">
      <c r="I135" s="3">
        <f>COUNTIF('Pagos de Cuotas'!C:C,A135)</f>
        <v>0</v>
      </c>
      <c r="J135" s="3">
        <f t="shared" si="6"/>
        <v>0</v>
      </c>
      <c r="K135" s="3">
        <f>SUMIF('Pagos de Cuotas'!C:C,A135,'Pagos de Cuotas'!F:F)</f>
        <v>0</v>
      </c>
      <c r="L135" s="3">
        <f t="shared" si="7"/>
        <v>0</v>
      </c>
      <c r="M135" s="3" t="str">
        <f t="shared" si="8"/>
        <v>Finalizada</v>
      </c>
    </row>
    <row r="136" spans="9:13" x14ac:dyDescent="0.3">
      <c r="I136" s="3">
        <f>COUNTIF('Pagos de Cuotas'!C:C,A136)</f>
        <v>0</v>
      </c>
      <c r="J136" s="3">
        <f t="shared" si="6"/>
        <v>0</v>
      </c>
      <c r="K136" s="3">
        <f>SUMIF('Pagos de Cuotas'!C:C,A136,'Pagos de Cuotas'!F:F)</f>
        <v>0</v>
      </c>
      <c r="L136" s="3">
        <f t="shared" si="7"/>
        <v>0</v>
      </c>
      <c r="M136" s="3" t="str">
        <f t="shared" si="8"/>
        <v>Finalizada</v>
      </c>
    </row>
    <row r="137" spans="9:13" x14ac:dyDescent="0.3">
      <c r="I137" s="3">
        <f>COUNTIF('Pagos de Cuotas'!C:C,A137)</f>
        <v>0</v>
      </c>
      <c r="J137" s="3">
        <f t="shared" si="6"/>
        <v>0</v>
      </c>
      <c r="K137" s="3">
        <f>SUMIF('Pagos de Cuotas'!C:C,A137,'Pagos de Cuotas'!F:F)</f>
        <v>0</v>
      </c>
      <c r="L137" s="3">
        <f t="shared" si="7"/>
        <v>0</v>
      </c>
      <c r="M137" s="3" t="str">
        <f t="shared" si="8"/>
        <v>Finalizada</v>
      </c>
    </row>
    <row r="138" spans="9:13" x14ac:dyDescent="0.3">
      <c r="I138" s="3">
        <f>COUNTIF('Pagos de Cuotas'!C:C,A138)</f>
        <v>0</v>
      </c>
      <c r="J138" s="3">
        <f t="shared" si="6"/>
        <v>0</v>
      </c>
      <c r="K138" s="3">
        <f>SUMIF('Pagos de Cuotas'!C:C,A138,'Pagos de Cuotas'!F:F)</f>
        <v>0</v>
      </c>
      <c r="L138" s="3">
        <f t="shared" si="7"/>
        <v>0</v>
      </c>
      <c r="M138" s="3" t="str">
        <f t="shared" si="8"/>
        <v>Finalizada</v>
      </c>
    </row>
    <row r="139" spans="9:13" x14ac:dyDescent="0.3">
      <c r="I139" s="3">
        <f>COUNTIF('Pagos de Cuotas'!C:C,A139)</f>
        <v>0</v>
      </c>
      <c r="J139" s="3">
        <f t="shared" si="6"/>
        <v>0</v>
      </c>
      <c r="K139" s="3">
        <f>SUMIF('Pagos de Cuotas'!C:C,A139,'Pagos de Cuotas'!F:F)</f>
        <v>0</v>
      </c>
      <c r="L139" s="3">
        <f t="shared" si="7"/>
        <v>0</v>
      </c>
      <c r="M139" s="3" t="str">
        <f t="shared" si="8"/>
        <v>Finalizada</v>
      </c>
    </row>
    <row r="140" spans="9:13" x14ac:dyDescent="0.3">
      <c r="I140" s="3">
        <f>COUNTIF('Pagos de Cuotas'!C:C,A140)</f>
        <v>0</v>
      </c>
      <c r="J140" s="3">
        <f t="shared" si="6"/>
        <v>0</v>
      </c>
      <c r="K140" s="3">
        <f>SUMIF('Pagos de Cuotas'!C:C,A140,'Pagos de Cuotas'!F:F)</f>
        <v>0</v>
      </c>
      <c r="L140" s="3">
        <f t="shared" si="7"/>
        <v>0</v>
      </c>
      <c r="M140" s="3" t="str">
        <f t="shared" si="8"/>
        <v>Finalizada</v>
      </c>
    </row>
    <row r="141" spans="9:13" x14ac:dyDescent="0.3">
      <c r="I141" s="3">
        <f>COUNTIF('Pagos de Cuotas'!C:C,A141)</f>
        <v>0</v>
      </c>
      <c r="J141" s="3">
        <f t="shared" si="6"/>
        <v>0</v>
      </c>
      <c r="K141" s="3">
        <f>SUMIF('Pagos de Cuotas'!C:C,A141,'Pagos de Cuotas'!F:F)</f>
        <v>0</v>
      </c>
      <c r="L141" s="3">
        <f t="shared" si="7"/>
        <v>0</v>
      </c>
      <c r="M141" s="3" t="str">
        <f t="shared" si="8"/>
        <v>Finalizada</v>
      </c>
    </row>
    <row r="142" spans="9:13" x14ac:dyDescent="0.3">
      <c r="I142" s="3">
        <f>COUNTIF('Pagos de Cuotas'!C:C,A142)</f>
        <v>0</v>
      </c>
      <c r="J142" s="3">
        <f t="shared" si="6"/>
        <v>0</v>
      </c>
      <c r="K142" s="3">
        <f>SUMIF('Pagos de Cuotas'!C:C,A142,'Pagos de Cuotas'!F:F)</f>
        <v>0</v>
      </c>
      <c r="L142" s="3">
        <f t="shared" si="7"/>
        <v>0</v>
      </c>
      <c r="M142" s="3" t="str">
        <f t="shared" si="8"/>
        <v>Finalizada</v>
      </c>
    </row>
    <row r="143" spans="9:13" x14ac:dyDescent="0.3">
      <c r="I143" s="3">
        <f>COUNTIF('Pagos de Cuotas'!C:C,A143)</f>
        <v>0</v>
      </c>
      <c r="J143" s="3">
        <f t="shared" si="6"/>
        <v>0</v>
      </c>
      <c r="K143" s="3">
        <f>SUMIF('Pagos de Cuotas'!C:C,A143,'Pagos de Cuotas'!F:F)</f>
        <v>0</v>
      </c>
      <c r="L143" s="3">
        <f t="shared" si="7"/>
        <v>0</v>
      </c>
      <c r="M143" s="3" t="str">
        <f t="shared" si="8"/>
        <v>Finalizada</v>
      </c>
    </row>
    <row r="144" spans="9:13" x14ac:dyDescent="0.3">
      <c r="I144" s="3">
        <f>COUNTIF('Pagos de Cuotas'!C:C,A144)</f>
        <v>0</v>
      </c>
      <c r="J144" s="3">
        <f t="shared" si="6"/>
        <v>0</v>
      </c>
      <c r="K144" s="3">
        <f>SUMIF('Pagos de Cuotas'!C:C,A144,'Pagos de Cuotas'!F:F)</f>
        <v>0</v>
      </c>
      <c r="L144" s="3">
        <f t="shared" si="7"/>
        <v>0</v>
      </c>
      <c r="M144" s="3" t="str">
        <f t="shared" si="8"/>
        <v>Finalizada</v>
      </c>
    </row>
    <row r="145" spans="9:13" x14ac:dyDescent="0.3">
      <c r="I145" s="3">
        <f>COUNTIF('Pagos de Cuotas'!C:C,A145)</f>
        <v>0</v>
      </c>
      <c r="J145" s="3">
        <f t="shared" si="6"/>
        <v>0</v>
      </c>
      <c r="K145" s="3">
        <f>SUMIF('Pagos de Cuotas'!C:C,A145,'Pagos de Cuotas'!F:F)</f>
        <v>0</v>
      </c>
      <c r="L145" s="3">
        <f t="shared" si="7"/>
        <v>0</v>
      </c>
      <c r="M145" s="3" t="str">
        <f t="shared" si="8"/>
        <v>Finalizada</v>
      </c>
    </row>
    <row r="146" spans="9:13" x14ac:dyDescent="0.3">
      <c r="I146" s="3">
        <f>COUNTIF('Pagos de Cuotas'!C:C,A146)</f>
        <v>0</v>
      </c>
      <c r="J146" s="3">
        <f t="shared" si="6"/>
        <v>0</v>
      </c>
      <c r="K146" s="3">
        <f>SUMIF('Pagos de Cuotas'!C:C,A146,'Pagos de Cuotas'!F:F)</f>
        <v>0</v>
      </c>
      <c r="L146" s="3">
        <f t="shared" si="7"/>
        <v>0</v>
      </c>
      <c r="M146" s="3" t="str">
        <f t="shared" si="8"/>
        <v>Finalizada</v>
      </c>
    </row>
    <row r="147" spans="9:13" x14ac:dyDescent="0.3">
      <c r="I147" s="3">
        <f>COUNTIF('Pagos de Cuotas'!C:C,A147)</f>
        <v>0</v>
      </c>
      <c r="J147" s="3">
        <f t="shared" si="6"/>
        <v>0</v>
      </c>
      <c r="K147" s="3">
        <f>SUMIF('Pagos de Cuotas'!C:C,A147,'Pagos de Cuotas'!F:F)</f>
        <v>0</v>
      </c>
      <c r="L147" s="3">
        <f t="shared" si="7"/>
        <v>0</v>
      </c>
      <c r="M147" s="3" t="str">
        <f t="shared" si="8"/>
        <v>Finalizada</v>
      </c>
    </row>
    <row r="148" spans="9:13" x14ac:dyDescent="0.3">
      <c r="I148" s="3">
        <f>COUNTIF('Pagos de Cuotas'!C:C,A148)</f>
        <v>0</v>
      </c>
      <c r="J148" s="3">
        <f t="shared" si="6"/>
        <v>0</v>
      </c>
      <c r="K148" s="3">
        <f>SUMIF('Pagos de Cuotas'!C:C,A148,'Pagos de Cuotas'!F:F)</f>
        <v>0</v>
      </c>
      <c r="L148" s="3">
        <f t="shared" si="7"/>
        <v>0</v>
      </c>
      <c r="M148" s="3" t="str">
        <f t="shared" si="8"/>
        <v>Finalizada</v>
      </c>
    </row>
    <row r="149" spans="9:13" x14ac:dyDescent="0.3">
      <c r="I149" s="3">
        <f>COUNTIF('Pagos de Cuotas'!C:C,A149)</f>
        <v>0</v>
      </c>
      <c r="J149" s="3">
        <f t="shared" si="6"/>
        <v>0</v>
      </c>
      <c r="K149" s="3">
        <f>SUMIF('Pagos de Cuotas'!C:C,A149,'Pagos de Cuotas'!F:F)</f>
        <v>0</v>
      </c>
      <c r="L149" s="3">
        <f t="shared" si="7"/>
        <v>0</v>
      </c>
      <c r="M149" s="3" t="str">
        <f t="shared" si="8"/>
        <v>Finalizada</v>
      </c>
    </row>
    <row r="150" spans="9:13" x14ac:dyDescent="0.3">
      <c r="I150" s="3">
        <f>COUNTIF('Pagos de Cuotas'!C:C,A150)</f>
        <v>0</v>
      </c>
      <c r="J150" s="3">
        <f t="shared" si="6"/>
        <v>0</v>
      </c>
      <c r="K150" s="3">
        <f>SUMIF('Pagos de Cuotas'!C:C,A150,'Pagos de Cuotas'!F:F)</f>
        <v>0</v>
      </c>
      <c r="L150" s="3">
        <f t="shared" si="7"/>
        <v>0</v>
      </c>
      <c r="M150" s="3" t="str">
        <f t="shared" si="8"/>
        <v>Finalizada</v>
      </c>
    </row>
    <row r="151" spans="9:13" x14ac:dyDescent="0.3">
      <c r="I151" s="3">
        <f>COUNTIF('Pagos de Cuotas'!C:C,A151)</f>
        <v>0</v>
      </c>
      <c r="J151" s="3">
        <f t="shared" si="6"/>
        <v>0</v>
      </c>
      <c r="K151" s="3">
        <f>SUMIF('Pagos de Cuotas'!C:C,A151,'Pagos de Cuotas'!F:F)</f>
        <v>0</v>
      </c>
      <c r="L151" s="3">
        <f t="shared" si="7"/>
        <v>0</v>
      </c>
      <c r="M151" s="3" t="str">
        <f t="shared" si="8"/>
        <v>Finalizada</v>
      </c>
    </row>
    <row r="152" spans="9:13" x14ac:dyDescent="0.3">
      <c r="I152" s="3">
        <f>COUNTIF('Pagos de Cuotas'!C:C,A152)</f>
        <v>0</v>
      </c>
      <c r="J152" s="3">
        <f t="shared" si="6"/>
        <v>0</v>
      </c>
      <c r="K152" s="3">
        <f>SUMIF('Pagos de Cuotas'!C:C,A152,'Pagos de Cuotas'!F:F)</f>
        <v>0</v>
      </c>
      <c r="L152" s="3">
        <f t="shared" si="7"/>
        <v>0</v>
      </c>
      <c r="M152" s="3" t="str">
        <f t="shared" si="8"/>
        <v>Finalizada</v>
      </c>
    </row>
    <row r="153" spans="9:13" x14ac:dyDescent="0.3">
      <c r="I153" s="3">
        <f>COUNTIF('Pagos de Cuotas'!C:C,A153)</f>
        <v>0</v>
      </c>
      <c r="J153" s="3">
        <f t="shared" si="6"/>
        <v>0</v>
      </c>
      <c r="K153" s="3">
        <f>SUMIF('Pagos de Cuotas'!C:C,A153,'Pagos de Cuotas'!F:F)</f>
        <v>0</v>
      </c>
      <c r="L153" s="3">
        <f t="shared" si="7"/>
        <v>0</v>
      </c>
      <c r="M153" s="3" t="str">
        <f t="shared" si="8"/>
        <v>Finalizada</v>
      </c>
    </row>
    <row r="154" spans="9:13" x14ac:dyDescent="0.3">
      <c r="I154" s="3">
        <f>COUNTIF('Pagos de Cuotas'!C:C,A154)</f>
        <v>0</v>
      </c>
      <c r="J154" s="3">
        <f t="shared" si="6"/>
        <v>0</v>
      </c>
      <c r="K154" s="3">
        <f>SUMIF('Pagos de Cuotas'!C:C,A154,'Pagos de Cuotas'!F:F)</f>
        <v>0</v>
      </c>
      <c r="L154" s="3">
        <f t="shared" si="7"/>
        <v>0</v>
      </c>
      <c r="M154" s="3" t="str">
        <f t="shared" si="8"/>
        <v>Finalizada</v>
      </c>
    </row>
    <row r="155" spans="9:13" x14ac:dyDescent="0.3">
      <c r="I155" s="3">
        <f>COUNTIF('Pagos de Cuotas'!C:C,A155)</f>
        <v>0</v>
      </c>
      <c r="J155" s="3">
        <f t="shared" si="6"/>
        <v>0</v>
      </c>
      <c r="K155" s="3">
        <f>SUMIF('Pagos de Cuotas'!C:C,A155,'Pagos de Cuotas'!F:F)</f>
        <v>0</v>
      </c>
      <c r="L155" s="3">
        <f t="shared" si="7"/>
        <v>0</v>
      </c>
      <c r="M155" s="3" t="str">
        <f t="shared" si="8"/>
        <v>Finalizada</v>
      </c>
    </row>
    <row r="156" spans="9:13" x14ac:dyDescent="0.3">
      <c r="I156" s="3">
        <f>COUNTIF('Pagos de Cuotas'!C:C,A156)</f>
        <v>0</v>
      </c>
      <c r="J156" s="3">
        <f t="shared" si="6"/>
        <v>0</v>
      </c>
      <c r="K156" s="3">
        <f>SUMIF('Pagos de Cuotas'!C:C,A156,'Pagos de Cuotas'!F:F)</f>
        <v>0</v>
      </c>
      <c r="L156" s="3">
        <f t="shared" si="7"/>
        <v>0</v>
      </c>
      <c r="M156" s="3" t="str">
        <f t="shared" si="8"/>
        <v>Finalizada</v>
      </c>
    </row>
    <row r="157" spans="9:13" x14ac:dyDescent="0.3">
      <c r="I157" s="3">
        <f>COUNTIF('Pagos de Cuotas'!C:C,A157)</f>
        <v>0</v>
      </c>
      <c r="J157" s="3">
        <f t="shared" si="6"/>
        <v>0</v>
      </c>
      <c r="K157" s="3">
        <f>SUMIF('Pagos de Cuotas'!C:C,A157,'Pagos de Cuotas'!F:F)</f>
        <v>0</v>
      </c>
      <c r="L157" s="3">
        <f t="shared" si="7"/>
        <v>0</v>
      </c>
      <c r="M157" s="3" t="str">
        <f t="shared" si="8"/>
        <v>Finalizada</v>
      </c>
    </row>
    <row r="158" spans="9:13" x14ac:dyDescent="0.3">
      <c r="I158" s="3">
        <f>COUNTIF('Pagos de Cuotas'!C:C,A158)</f>
        <v>0</v>
      </c>
      <c r="J158" s="3">
        <f t="shared" si="6"/>
        <v>0</v>
      </c>
      <c r="K158" s="3">
        <f>SUMIF('Pagos de Cuotas'!C:C,A158,'Pagos de Cuotas'!F:F)</f>
        <v>0</v>
      </c>
      <c r="L158" s="3">
        <f t="shared" si="7"/>
        <v>0</v>
      </c>
      <c r="M158" s="3" t="str">
        <f t="shared" si="8"/>
        <v>Finalizada</v>
      </c>
    </row>
    <row r="159" spans="9:13" x14ac:dyDescent="0.3">
      <c r="I159" s="3">
        <f>COUNTIF('Pagos de Cuotas'!C:C,A159)</f>
        <v>0</v>
      </c>
      <c r="J159" s="3">
        <f t="shared" si="6"/>
        <v>0</v>
      </c>
      <c r="K159" s="3">
        <f>SUMIF('Pagos de Cuotas'!C:C,A159,'Pagos de Cuotas'!F:F)</f>
        <v>0</v>
      </c>
      <c r="L159" s="3">
        <f t="shared" si="7"/>
        <v>0</v>
      </c>
      <c r="M159" s="3" t="str">
        <f t="shared" si="8"/>
        <v>Finalizada</v>
      </c>
    </row>
    <row r="160" spans="9:13" x14ac:dyDescent="0.3">
      <c r="I160" s="3">
        <f>COUNTIF('Pagos de Cuotas'!C:C,A160)</f>
        <v>0</v>
      </c>
      <c r="J160" s="3">
        <f t="shared" si="6"/>
        <v>0</v>
      </c>
      <c r="K160" s="3">
        <f>SUMIF('Pagos de Cuotas'!C:C,A160,'Pagos de Cuotas'!F:F)</f>
        <v>0</v>
      </c>
      <c r="L160" s="3">
        <f t="shared" si="7"/>
        <v>0</v>
      </c>
      <c r="M160" s="3" t="str">
        <f t="shared" si="8"/>
        <v>Finalizada</v>
      </c>
    </row>
    <row r="161" spans="9:13" x14ac:dyDescent="0.3">
      <c r="I161" s="3">
        <f>COUNTIF('Pagos de Cuotas'!C:C,A161)</f>
        <v>0</v>
      </c>
      <c r="J161" s="3">
        <f t="shared" si="6"/>
        <v>0</v>
      </c>
      <c r="K161" s="3">
        <f>SUMIF('Pagos de Cuotas'!C:C,A161,'Pagos de Cuotas'!F:F)</f>
        <v>0</v>
      </c>
      <c r="L161" s="3">
        <f t="shared" si="7"/>
        <v>0</v>
      </c>
      <c r="M161" s="3" t="str">
        <f t="shared" si="8"/>
        <v>Finalizada</v>
      </c>
    </row>
    <row r="162" spans="9:13" x14ac:dyDescent="0.3">
      <c r="I162" s="3">
        <f>COUNTIF('Pagos de Cuotas'!C:C,A162)</f>
        <v>0</v>
      </c>
      <c r="J162" s="3">
        <f t="shared" si="6"/>
        <v>0</v>
      </c>
      <c r="K162" s="3">
        <f>SUMIF('Pagos de Cuotas'!C:C,A162,'Pagos de Cuotas'!F:F)</f>
        <v>0</v>
      </c>
      <c r="L162" s="3">
        <f t="shared" si="7"/>
        <v>0</v>
      </c>
      <c r="M162" s="3" t="str">
        <f t="shared" si="8"/>
        <v>Finalizada</v>
      </c>
    </row>
    <row r="163" spans="9:13" x14ac:dyDescent="0.3">
      <c r="I163" s="3">
        <f>COUNTIF('Pagos de Cuotas'!C:C,A163)</f>
        <v>0</v>
      </c>
      <c r="J163" s="3">
        <f t="shared" si="6"/>
        <v>0</v>
      </c>
      <c r="K163" s="3">
        <f>SUMIF('Pagos de Cuotas'!C:C,A163,'Pagos de Cuotas'!F:F)</f>
        <v>0</v>
      </c>
      <c r="L163" s="3">
        <f t="shared" si="7"/>
        <v>0</v>
      </c>
      <c r="M163" s="3" t="str">
        <f t="shared" si="8"/>
        <v>Finalizada</v>
      </c>
    </row>
    <row r="164" spans="9:13" x14ac:dyDescent="0.3">
      <c r="I164" s="3">
        <f>COUNTIF('Pagos de Cuotas'!C:C,A164)</f>
        <v>0</v>
      </c>
      <c r="J164" s="3">
        <f t="shared" si="6"/>
        <v>0</v>
      </c>
      <c r="K164" s="3">
        <f>SUMIF('Pagos de Cuotas'!C:C,A164,'Pagos de Cuotas'!F:F)</f>
        <v>0</v>
      </c>
      <c r="L164" s="3">
        <f t="shared" si="7"/>
        <v>0</v>
      </c>
      <c r="M164" s="3" t="str">
        <f t="shared" si="8"/>
        <v>Finalizada</v>
      </c>
    </row>
    <row r="165" spans="9:13" x14ac:dyDescent="0.3">
      <c r="I165" s="3">
        <f>COUNTIF('Pagos de Cuotas'!C:C,A165)</f>
        <v>0</v>
      </c>
      <c r="J165" s="3">
        <f t="shared" si="6"/>
        <v>0</v>
      </c>
      <c r="K165" s="3">
        <f>SUMIF('Pagos de Cuotas'!C:C,A165,'Pagos de Cuotas'!F:F)</f>
        <v>0</v>
      </c>
      <c r="L165" s="3">
        <f t="shared" si="7"/>
        <v>0</v>
      </c>
      <c r="M165" s="3" t="str">
        <f t="shared" si="8"/>
        <v>Finalizada</v>
      </c>
    </row>
    <row r="166" spans="9:13" x14ac:dyDescent="0.3">
      <c r="I166" s="3">
        <f>COUNTIF('Pagos de Cuotas'!C:C,A166)</f>
        <v>0</v>
      </c>
      <c r="J166" s="3">
        <f t="shared" si="6"/>
        <v>0</v>
      </c>
      <c r="K166" s="3">
        <f>SUMIF('Pagos de Cuotas'!C:C,A166,'Pagos de Cuotas'!F:F)</f>
        <v>0</v>
      </c>
      <c r="L166" s="3">
        <f t="shared" si="7"/>
        <v>0</v>
      </c>
      <c r="M166" s="3" t="str">
        <f t="shared" si="8"/>
        <v>Finalizada</v>
      </c>
    </row>
    <row r="167" spans="9:13" x14ac:dyDescent="0.3">
      <c r="I167" s="3">
        <f>COUNTIF('Pagos de Cuotas'!C:C,A167)</f>
        <v>0</v>
      </c>
      <c r="J167" s="3">
        <f t="shared" si="6"/>
        <v>0</v>
      </c>
      <c r="K167" s="3">
        <f>SUMIF('Pagos de Cuotas'!C:C,A167,'Pagos de Cuotas'!F:F)</f>
        <v>0</v>
      </c>
      <c r="L167" s="3">
        <f t="shared" si="7"/>
        <v>0</v>
      </c>
      <c r="M167" s="3" t="str">
        <f t="shared" si="8"/>
        <v>Finalizada</v>
      </c>
    </row>
    <row r="168" spans="9:13" x14ac:dyDescent="0.3">
      <c r="I168" s="3">
        <f>COUNTIF('Pagos de Cuotas'!C:C,A168)</f>
        <v>0</v>
      </c>
      <c r="J168" s="3">
        <f t="shared" si="6"/>
        <v>0</v>
      </c>
      <c r="K168" s="3">
        <f>SUMIF('Pagos de Cuotas'!C:C,A168,'Pagos de Cuotas'!F:F)</f>
        <v>0</v>
      </c>
      <c r="L168" s="3">
        <f t="shared" si="7"/>
        <v>0</v>
      </c>
      <c r="M168" s="3" t="str">
        <f t="shared" si="8"/>
        <v>Finalizada</v>
      </c>
    </row>
    <row r="169" spans="9:13" x14ac:dyDescent="0.3">
      <c r="I169" s="3">
        <f>COUNTIF('Pagos de Cuotas'!C:C,A169)</f>
        <v>0</v>
      </c>
      <c r="J169" s="3">
        <f t="shared" si="6"/>
        <v>0</v>
      </c>
      <c r="K169" s="3">
        <f>SUMIF('Pagos de Cuotas'!C:C,A169,'Pagos de Cuotas'!F:F)</f>
        <v>0</v>
      </c>
      <c r="L169" s="3">
        <f t="shared" si="7"/>
        <v>0</v>
      </c>
      <c r="M169" s="3" t="str">
        <f t="shared" si="8"/>
        <v>Finalizada</v>
      </c>
    </row>
    <row r="170" spans="9:13" x14ac:dyDescent="0.3">
      <c r="I170" s="3">
        <f>COUNTIF('Pagos de Cuotas'!C:C,A170)</f>
        <v>0</v>
      </c>
      <c r="J170" s="3">
        <f t="shared" si="6"/>
        <v>0</v>
      </c>
      <c r="K170" s="3">
        <f>SUMIF('Pagos de Cuotas'!C:C,A170,'Pagos de Cuotas'!F:F)</f>
        <v>0</v>
      </c>
      <c r="L170" s="3">
        <f t="shared" si="7"/>
        <v>0</v>
      </c>
      <c r="M170" s="3" t="str">
        <f t="shared" si="8"/>
        <v>Finalizada</v>
      </c>
    </row>
    <row r="171" spans="9:13" x14ac:dyDescent="0.3">
      <c r="I171" s="3">
        <f>COUNTIF('Pagos de Cuotas'!C:C,A171)</f>
        <v>0</v>
      </c>
      <c r="J171" s="3">
        <f t="shared" si="6"/>
        <v>0</v>
      </c>
      <c r="K171" s="3">
        <f>SUMIF('Pagos de Cuotas'!C:C,A171,'Pagos de Cuotas'!F:F)</f>
        <v>0</v>
      </c>
      <c r="L171" s="3">
        <f t="shared" si="7"/>
        <v>0</v>
      </c>
      <c r="M171" s="3" t="str">
        <f t="shared" si="8"/>
        <v>Finalizada</v>
      </c>
    </row>
    <row r="172" spans="9:13" x14ac:dyDescent="0.3">
      <c r="I172" s="3">
        <f>COUNTIF('Pagos de Cuotas'!C:C,A172)</f>
        <v>0</v>
      </c>
      <c r="J172" s="3">
        <f t="shared" si="6"/>
        <v>0</v>
      </c>
      <c r="K172" s="3">
        <f>SUMIF('Pagos de Cuotas'!C:C,A172,'Pagos de Cuotas'!F:F)</f>
        <v>0</v>
      </c>
      <c r="L172" s="3">
        <f t="shared" si="7"/>
        <v>0</v>
      </c>
      <c r="M172" s="3" t="str">
        <f t="shared" si="8"/>
        <v>Finalizada</v>
      </c>
    </row>
    <row r="173" spans="9:13" x14ac:dyDescent="0.3">
      <c r="I173" s="3">
        <f>COUNTIF('Pagos de Cuotas'!C:C,A173)</f>
        <v>0</v>
      </c>
      <c r="J173" s="3">
        <f t="shared" si="6"/>
        <v>0</v>
      </c>
      <c r="K173" s="3">
        <f>SUMIF('Pagos de Cuotas'!C:C,A173,'Pagos de Cuotas'!F:F)</f>
        <v>0</v>
      </c>
      <c r="L173" s="3">
        <f t="shared" si="7"/>
        <v>0</v>
      </c>
      <c r="M173" s="3" t="str">
        <f t="shared" si="8"/>
        <v>Finalizada</v>
      </c>
    </row>
    <row r="174" spans="9:13" x14ac:dyDescent="0.3">
      <c r="I174" s="3">
        <f>COUNTIF('Pagos de Cuotas'!C:C,A174)</f>
        <v>0</v>
      </c>
      <c r="J174" s="3">
        <f t="shared" si="6"/>
        <v>0</v>
      </c>
      <c r="K174" s="3">
        <f>SUMIF('Pagos de Cuotas'!C:C,A174,'Pagos de Cuotas'!F:F)</f>
        <v>0</v>
      </c>
      <c r="L174" s="3">
        <f t="shared" si="7"/>
        <v>0</v>
      </c>
      <c r="M174" s="3" t="str">
        <f t="shared" si="8"/>
        <v>Finalizada</v>
      </c>
    </row>
    <row r="175" spans="9:13" x14ac:dyDescent="0.3">
      <c r="I175" s="3">
        <f>COUNTIF('Pagos de Cuotas'!C:C,A175)</f>
        <v>0</v>
      </c>
      <c r="J175" s="3">
        <f t="shared" si="6"/>
        <v>0</v>
      </c>
      <c r="K175" s="3">
        <f>SUMIF('Pagos de Cuotas'!C:C,A175,'Pagos de Cuotas'!F:F)</f>
        <v>0</v>
      </c>
      <c r="L175" s="3">
        <f t="shared" si="7"/>
        <v>0</v>
      </c>
      <c r="M175" s="3" t="str">
        <f t="shared" si="8"/>
        <v>Finalizada</v>
      </c>
    </row>
    <row r="176" spans="9:13" x14ac:dyDescent="0.3">
      <c r="I176" s="3">
        <f>COUNTIF('Pagos de Cuotas'!C:C,A176)</f>
        <v>0</v>
      </c>
      <c r="J176" s="3">
        <f t="shared" si="6"/>
        <v>0</v>
      </c>
      <c r="K176" s="3">
        <f>SUMIF('Pagos de Cuotas'!C:C,A176,'Pagos de Cuotas'!F:F)</f>
        <v>0</v>
      </c>
      <c r="L176" s="3">
        <f t="shared" si="7"/>
        <v>0</v>
      </c>
      <c r="M176" s="3" t="str">
        <f t="shared" si="8"/>
        <v>Finalizada</v>
      </c>
    </row>
    <row r="177" spans="9:13" x14ac:dyDescent="0.3">
      <c r="I177" s="3">
        <f>COUNTIF('Pagos de Cuotas'!C:C,A177)</f>
        <v>0</v>
      </c>
      <c r="J177" s="3">
        <f t="shared" si="6"/>
        <v>0</v>
      </c>
      <c r="K177" s="3">
        <f>SUMIF('Pagos de Cuotas'!C:C,A177,'Pagos de Cuotas'!F:F)</f>
        <v>0</v>
      </c>
      <c r="L177" s="3">
        <f t="shared" si="7"/>
        <v>0</v>
      </c>
      <c r="M177" s="3" t="str">
        <f t="shared" si="8"/>
        <v>Finalizada</v>
      </c>
    </row>
    <row r="178" spans="9:13" x14ac:dyDescent="0.3">
      <c r="I178" s="3">
        <f>COUNTIF('Pagos de Cuotas'!C:C,A178)</f>
        <v>0</v>
      </c>
      <c r="J178" s="3">
        <f t="shared" si="6"/>
        <v>0</v>
      </c>
      <c r="K178" s="3">
        <f>SUMIF('Pagos de Cuotas'!C:C,A178,'Pagos de Cuotas'!F:F)</f>
        <v>0</v>
      </c>
      <c r="L178" s="3">
        <f t="shared" si="7"/>
        <v>0</v>
      </c>
      <c r="M178" s="3" t="str">
        <f t="shared" si="8"/>
        <v>Finalizada</v>
      </c>
    </row>
    <row r="179" spans="9:13" x14ac:dyDescent="0.3">
      <c r="I179" s="3">
        <f>COUNTIF('Pagos de Cuotas'!C:C,A179)</f>
        <v>0</v>
      </c>
      <c r="J179" s="3">
        <f t="shared" si="6"/>
        <v>0</v>
      </c>
      <c r="K179" s="3">
        <f>SUMIF('Pagos de Cuotas'!C:C,A179,'Pagos de Cuotas'!F:F)</f>
        <v>0</v>
      </c>
      <c r="L179" s="3">
        <f t="shared" si="7"/>
        <v>0</v>
      </c>
      <c r="M179" s="3" t="str">
        <f t="shared" si="8"/>
        <v>Finalizada</v>
      </c>
    </row>
    <row r="180" spans="9:13" x14ac:dyDescent="0.3">
      <c r="I180" s="3">
        <f>COUNTIF('Pagos de Cuotas'!C:C,A180)</f>
        <v>0</v>
      </c>
      <c r="J180" s="3">
        <f t="shared" si="6"/>
        <v>0</v>
      </c>
      <c r="K180" s="3">
        <f>SUMIF('Pagos de Cuotas'!C:C,A180,'Pagos de Cuotas'!F:F)</f>
        <v>0</v>
      </c>
      <c r="L180" s="3">
        <f t="shared" si="7"/>
        <v>0</v>
      </c>
      <c r="M180" s="3" t="str">
        <f t="shared" si="8"/>
        <v>Finalizada</v>
      </c>
    </row>
    <row r="181" spans="9:13" x14ac:dyDescent="0.3">
      <c r="I181" s="3">
        <f>COUNTIF('Pagos de Cuotas'!C:C,A181)</f>
        <v>0</v>
      </c>
      <c r="J181" s="3">
        <f t="shared" si="6"/>
        <v>0</v>
      </c>
      <c r="K181" s="3">
        <f>SUMIF('Pagos de Cuotas'!C:C,A181,'Pagos de Cuotas'!F:F)</f>
        <v>0</v>
      </c>
      <c r="L181" s="3">
        <f t="shared" si="7"/>
        <v>0</v>
      </c>
      <c r="M181" s="3" t="str">
        <f t="shared" si="8"/>
        <v>Finalizada</v>
      </c>
    </row>
    <row r="182" spans="9:13" x14ac:dyDescent="0.3">
      <c r="I182" s="3">
        <f>COUNTIF('Pagos de Cuotas'!C:C,A182)</f>
        <v>0</v>
      </c>
      <c r="J182" s="3">
        <f t="shared" si="6"/>
        <v>0</v>
      </c>
      <c r="K182" s="3">
        <f>SUMIF('Pagos de Cuotas'!C:C,A182,'Pagos de Cuotas'!F:F)</f>
        <v>0</v>
      </c>
      <c r="L182" s="3">
        <f t="shared" si="7"/>
        <v>0</v>
      </c>
      <c r="M182" s="3" t="str">
        <f t="shared" si="8"/>
        <v>Finalizada</v>
      </c>
    </row>
    <row r="183" spans="9:13" x14ac:dyDescent="0.3">
      <c r="I183" s="3">
        <f>COUNTIF('Pagos de Cuotas'!C:C,A183)</f>
        <v>0</v>
      </c>
      <c r="J183" s="3">
        <f t="shared" si="6"/>
        <v>0</v>
      </c>
      <c r="K183" s="3">
        <f>SUMIF('Pagos de Cuotas'!C:C,A183,'Pagos de Cuotas'!F:F)</f>
        <v>0</v>
      </c>
      <c r="L183" s="3">
        <f t="shared" si="7"/>
        <v>0</v>
      </c>
      <c r="M183" s="3" t="str">
        <f t="shared" si="8"/>
        <v>Finalizada</v>
      </c>
    </row>
    <row r="184" spans="9:13" x14ac:dyDescent="0.3">
      <c r="I184" s="3">
        <f>COUNTIF('Pagos de Cuotas'!C:C,A184)</f>
        <v>0</v>
      </c>
      <c r="J184" s="3">
        <f t="shared" si="6"/>
        <v>0</v>
      </c>
      <c r="K184" s="3">
        <f>SUMIF('Pagos de Cuotas'!C:C,A184,'Pagos de Cuotas'!F:F)</f>
        <v>0</v>
      </c>
      <c r="L184" s="3">
        <f t="shared" si="7"/>
        <v>0</v>
      </c>
      <c r="M184" s="3" t="str">
        <f t="shared" si="8"/>
        <v>Finalizada</v>
      </c>
    </row>
    <row r="185" spans="9:13" x14ac:dyDescent="0.3">
      <c r="I185" s="3">
        <f>COUNTIF('Pagos de Cuotas'!C:C,A185)</f>
        <v>0</v>
      </c>
      <c r="J185" s="3">
        <f t="shared" si="6"/>
        <v>0</v>
      </c>
      <c r="K185" s="3">
        <f>SUMIF('Pagos de Cuotas'!C:C,A185,'Pagos de Cuotas'!F:F)</f>
        <v>0</v>
      </c>
      <c r="L185" s="3">
        <f t="shared" si="7"/>
        <v>0</v>
      </c>
      <c r="M185" s="3" t="str">
        <f t="shared" si="8"/>
        <v>Finalizada</v>
      </c>
    </row>
    <row r="186" spans="9:13" x14ac:dyDescent="0.3">
      <c r="I186" s="3">
        <f>COUNTIF('Pagos de Cuotas'!C:C,A186)</f>
        <v>0</v>
      </c>
      <c r="J186" s="3">
        <f t="shared" si="6"/>
        <v>0</v>
      </c>
      <c r="K186" s="3">
        <f>SUMIF('Pagos de Cuotas'!C:C,A186,'Pagos de Cuotas'!F:F)</f>
        <v>0</v>
      </c>
      <c r="L186" s="3">
        <f t="shared" si="7"/>
        <v>0</v>
      </c>
      <c r="M186" s="3" t="str">
        <f t="shared" si="8"/>
        <v>Finalizada</v>
      </c>
    </row>
    <row r="187" spans="9:13" x14ac:dyDescent="0.3">
      <c r="I187" s="3">
        <f>COUNTIF('Pagos de Cuotas'!C:C,A187)</f>
        <v>0</v>
      </c>
      <c r="J187" s="3">
        <f t="shared" si="6"/>
        <v>0</v>
      </c>
      <c r="K187" s="3">
        <f>SUMIF('Pagos de Cuotas'!C:C,A187,'Pagos de Cuotas'!F:F)</f>
        <v>0</v>
      </c>
      <c r="L187" s="3">
        <f t="shared" si="7"/>
        <v>0</v>
      </c>
      <c r="M187" s="3" t="str">
        <f t="shared" si="8"/>
        <v>Finalizada</v>
      </c>
    </row>
    <row r="188" spans="9:13" x14ac:dyDescent="0.3">
      <c r="I188" s="3">
        <f>COUNTIF('Pagos de Cuotas'!C:C,A188)</f>
        <v>0</v>
      </c>
      <c r="J188" s="3">
        <f t="shared" si="6"/>
        <v>0</v>
      </c>
      <c r="K188" s="3">
        <f>SUMIF('Pagos de Cuotas'!C:C,A188,'Pagos de Cuotas'!F:F)</f>
        <v>0</v>
      </c>
      <c r="L188" s="3">
        <f t="shared" si="7"/>
        <v>0</v>
      </c>
      <c r="M188" s="3" t="str">
        <f t="shared" si="8"/>
        <v>Finalizada</v>
      </c>
    </row>
    <row r="189" spans="9:13" x14ac:dyDescent="0.3">
      <c r="I189" s="3">
        <f>COUNTIF('Pagos de Cuotas'!C:C,A189)</f>
        <v>0</v>
      </c>
      <c r="J189" s="3">
        <f t="shared" si="6"/>
        <v>0</v>
      </c>
      <c r="K189" s="3">
        <f>SUMIF('Pagos de Cuotas'!C:C,A189,'Pagos de Cuotas'!F:F)</f>
        <v>0</v>
      </c>
      <c r="L189" s="3">
        <f t="shared" si="7"/>
        <v>0</v>
      </c>
      <c r="M189" s="3" t="str">
        <f t="shared" si="8"/>
        <v>Finalizada</v>
      </c>
    </row>
    <row r="190" spans="9:13" x14ac:dyDescent="0.3">
      <c r="I190" s="3">
        <f>COUNTIF('Pagos de Cuotas'!C:C,A190)</f>
        <v>0</v>
      </c>
      <c r="J190" s="3">
        <f t="shared" si="6"/>
        <v>0</v>
      </c>
      <c r="K190" s="3">
        <f>SUMIF('Pagos de Cuotas'!C:C,A190,'Pagos de Cuotas'!F:F)</f>
        <v>0</v>
      </c>
      <c r="L190" s="3">
        <f t="shared" si="7"/>
        <v>0</v>
      </c>
      <c r="M190" s="3" t="str">
        <f t="shared" si="8"/>
        <v>Finalizada</v>
      </c>
    </row>
    <row r="191" spans="9:13" x14ac:dyDescent="0.3">
      <c r="I191" s="3">
        <f>COUNTIF('Pagos de Cuotas'!C:C,A191)</f>
        <v>0</v>
      </c>
      <c r="J191" s="3">
        <f t="shared" si="6"/>
        <v>0</v>
      </c>
      <c r="K191" s="3">
        <f>SUMIF('Pagos de Cuotas'!C:C,A191,'Pagos de Cuotas'!F:F)</f>
        <v>0</v>
      </c>
      <c r="L191" s="3">
        <f t="shared" si="7"/>
        <v>0</v>
      </c>
      <c r="M191" s="3" t="str">
        <f t="shared" si="8"/>
        <v>Finalizada</v>
      </c>
    </row>
    <row r="192" spans="9:13" x14ac:dyDescent="0.3">
      <c r="I192" s="3">
        <f>COUNTIF('Pagos de Cuotas'!C:C,A192)</f>
        <v>0</v>
      </c>
      <c r="J192" s="3">
        <f t="shared" si="6"/>
        <v>0</v>
      </c>
      <c r="K192" s="3">
        <f>SUMIF('Pagos de Cuotas'!C:C,A192,'Pagos de Cuotas'!F:F)</f>
        <v>0</v>
      </c>
      <c r="L192" s="3">
        <f t="shared" si="7"/>
        <v>0</v>
      </c>
      <c r="M192" s="3" t="str">
        <f t="shared" si="8"/>
        <v>Finalizada</v>
      </c>
    </row>
    <row r="193" spans="9:13" x14ac:dyDescent="0.3">
      <c r="I193" s="3">
        <f>COUNTIF('Pagos de Cuotas'!C:C,A193)</f>
        <v>0</v>
      </c>
      <c r="J193" s="3">
        <f t="shared" si="6"/>
        <v>0</v>
      </c>
      <c r="K193" s="3">
        <f>SUMIF('Pagos de Cuotas'!C:C,A193,'Pagos de Cuotas'!F:F)</f>
        <v>0</v>
      </c>
      <c r="L193" s="3">
        <f t="shared" si="7"/>
        <v>0</v>
      </c>
      <c r="M193" s="3" t="str">
        <f t="shared" si="8"/>
        <v>Finalizada</v>
      </c>
    </row>
    <row r="194" spans="9:13" x14ac:dyDescent="0.3">
      <c r="I194" s="3">
        <f>COUNTIF('Pagos de Cuotas'!C:C,A194)</f>
        <v>0</v>
      </c>
      <c r="J194" s="3">
        <f t="shared" ref="J194:J257" si="9">E194-I194</f>
        <v>0</v>
      </c>
      <c r="K194" s="3">
        <f>SUMIF('Pagos de Cuotas'!C:C,A194,'Pagos de Cuotas'!F:F)</f>
        <v>0</v>
      </c>
      <c r="L194" s="3">
        <f t="shared" ref="L194:L257" si="10">D194-K194</f>
        <v>0</v>
      </c>
      <c r="M194" s="3" t="str">
        <f t="shared" ref="M194:M257" si="11">IF(L194&lt;=0,"Finalizada",IF(I194=0,"Pendiente","En curso"))</f>
        <v>Finalizada</v>
      </c>
    </row>
    <row r="195" spans="9:13" x14ac:dyDescent="0.3">
      <c r="I195" s="3">
        <f>COUNTIF('Pagos de Cuotas'!C:C,A195)</f>
        <v>0</v>
      </c>
      <c r="J195" s="3">
        <f t="shared" si="9"/>
        <v>0</v>
      </c>
      <c r="K195" s="3">
        <f>SUMIF('Pagos de Cuotas'!C:C,A195,'Pagos de Cuotas'!F:F)</f>
        <v>0</v>
      </c>
      <c r="L195" s="3">
        <f t="shared" si="10"/>
        <v>0</v>
      </c>
      <c r="M195" s="3" t="str">
        <f t="shared" si="11"/>
        <v>Finalizada</v>
      </c>
    </row>
    <row r="196" spans="9:13" x14ac:dyDescent="0.3">
      <c r="I196" s="3">
        <f>COUNTIF('Pagos de Cuotas'!C:C,A196)</f>
        <v>0</v>
      </c>
      <c r="J196" s="3">
        <f t="shared" si="9"/>
        <v>0</v>
      </c>
      <c r="K196" s="3">
        <f>SUMIF('Pagos de Cuotas'!C:C,A196,'Pagos de Cuotas'!F:F)</f>
        <v>0</v>
      </c>
      <c r="L196" s="3">
        <f t="shared" si="10"/>
        <v>0</v>
      </c>
      <c r="M196" s="3" t="str">
        <f t="shared" si="11"/>
        <v>Finalizada</v>
      </c>
    </row>
    <row r="197" spans="9:13" x14ac:dyDescent="0.3">
      <c r="I197" s="3">
        <f>COUNTIF('Pagos de Cuotas'!C:C,A197)</f>
        <v>0</v>
      </c>
      <c r="J197" s="3">
        <f t="shared" si="9"/>
        <v>0</v>
      </c>
      <c r="K197" s="3">
        <f>SUMIF('Pagos de Cuotas'!C:C,A197,'Pagos de Cuotas'!F:F)</f>
        <v>0</v>
      </c>
      <c r="L197" s="3">
        <f t="shared" si="10"/>
        <v>0</v>
      </c>
      <c r="M197" s="3" t="str">
        <f t="shared" si="11"/>
        <v>Finalizada</v>
      </c>
    </row>
    <row r="198" spans="9:13" x14ac:dyDescent="0.3">
      <c r="I198" s="3">
        <f>COUNTIF('Pagos de Cuotas'!C:C,A198)</f>
        <v>0</v>
      </c>
      <c r="J198" s="3">
        <f t="shared" si="9"/>
        <v>0</v>
      </c>
      <c r="K198" s="3">
        <f>SUMIF('Pagos de Cuotas'!C:C,A198,'Pagos de Cuotas'!F:F)</f>
        <v>0</v>
      </c>
      <c r="L198" s="3">
        <f t="shared" si="10"/>
        <v>0</v>
      </c>
      <c r="M198" s="3" t="str">
        <f t="shared" si="11"/>
        <v>Finalizada</v>
      </c>
    </row>
    <row r="199" spans="9:13" x14ac:dyDescent="0.3">
      <c r="I199" s="3">
        <f>COUNTIF('Pagos de Cuotas'!C:C,A199)</f>
        <v>0</v>
      </c>
      <c r="J199" s="3">
        <f t="shared" si="9"/>
        <v>0</v>
      </c>
      <c r="K199" s="3">
        <f>SUMIF('Pagos de Cuotas'!C:C,A199,'Pagos de Cuotas'!F:F)</f>
        <v>0</v>
      </c>
      <c r="L199" s="3">
        <f t="shared" si="10"/>
        <v>0</v>
      </c>
      <c r="M199" s="3" t="str">
        <f t="shared" si="11"/>
        <v>Finalizada</v>
      </c>
    </row>
    <row r="200" spans="9:13" x14ac:dyDescent="0.3">
      <c r="I200" s="3">
        <f>COUNTIF('Pagos de Cuotas'!C:C,A200)</f>
        <v>0</v>
      </c>
      <c r="J200" s="3">
        <f t="shared" si="9"/>
        <v>0</v>
      </c>
      <c r="K200" s="3">
        <f>SUMIF('Pagos de Cuotas'!C:C,A200,'Pagos de Cuotas'!F:F)</f>
        <v>0</v>
      </c>
      <c r="L200" s="3">
        <f t="shared" si="10"/>
        <v>0</v>
      </c>
      <c r="M200" s="3" t="str">
        <f t="shared" si="11"/>
        <v>Finalizada</v>
      </c>
    </row>
    <row r="201" spans="9:13" x14ac:dyDescent="0.3">
      <c r="I201" s="3">
        <f>COUNTIF('Pagos de Cuotas'!C:C,A201)</f>
        <v>0</v>
      </c>
      <c r="J201" s="3">
        <f t="shared" si="9"/>
        <v>0</v>
      </c>
      <c r="K201" s="3">
        <f>SUMIF('Pagos de Cuotas'!C:C,A201,'Pagos de Cuotas'!F:F)</f>
        <v>0</v>
      </c>
      <c r="L201" s="3">
        <f t="shared" si="10"/>
        <v>0</v>
      </c>
      <c r="M201" s="3" t="str">
        <f t="shared" si="11"/>
        <v>Finalizada</v>
      </c>
    </row>
    <row r="202" spans="9:13" x14ac:dyDescent="0.3">
      <c r="I202" s="3">
        <f>COUNTIF('Pagos de Cuotas'!C:C,A202)</f>
        <v>0</v>
      </c>
      <c r="J202" s="3">
        <f t="shared" si="9"/>
        <v>0</v>
      </c>
      <c r="K202" s="3">
        <f>SUMIF('Pagos de Cuotas'!C:C,A202,'Pagos de Cuotas'!F:F)</f>
        <v>0</v>
      </c>
      <c r="L202" s="3">
        <f t="shared" si="10"/>
        <v>0</v>
      </c>
      <c r="M202" s="3" t="str">
        <f t="shared" si="11"/>
        <v>Finalizada</v>
      </c>
    </row>
    <row r="203" spans="9:13" x14ac:dyDescent="0.3">
      <c r="I203" s="3">
        <f>COUNTIF('Pagos de Cuotas'!C:C,A203)</f>
        <v>0</v>
      </c>
      <c r="J203" s="3">
        <f t="shared" si="9"/>
        <v>0</v>
      </c>
      <c r="K203" s="3">
        <f>SUMIF('Pagos de Cuotas'!C:C,A203,'Pagos de Cuotas'!F:F)</f>
        <v>0</v>
      </c>
      <c r="L203" s="3">
        <f t="shared" si="10"/>
        <v>0</v>
      </c>
      <c r="M203" s="3" t="str">
        <f t="shared" si="11"/>
        <v>Finalizada</v>
      </c>
    </row>
    <row r="204" spans="9:13" x14ac:dyDescent="0.3">
      <c r="I204" s="3">
        <f>COUNTIF('Pagos de Cuotas'!C:C,A204)</f>
        <v>0</v>
      </c>
      <c r="J204" s="3">
        <f t="shared" si="9"/>
        <v>0</v>
      </c>
      <c r="K204" s="3">
        <f>SUMIF('Pagos de Cuotas'!C:C,A204,'Pagos de Cuotas'!F:F)</f>
        <v>0</v>
      </c>
      <c r="L204" s="3">
        <f t="shared" si="10"/>
        <v>0</v>
      </c>
      <c r="M204" s="3" t="str">
        <f t="shared" si="11"/>
        <v>Finalizada</v>
      </c>
    </row>
    <row r="205" spans="9:13" x14ac:dyDescent="0.3">
      <c r="I205" s="3">
        <f>COUNTIF('Pagos de Cuotas'!C:C,A205)</f>
        <v>0</v>
      </c>
      <c r="J205" s="3">
        <f t="shared" si="9"/>
        <v>0</v>
      </c>
      <c r="K205" s="3">
        <f>SUMIF('Pagos de Cuotas'!C:C,A205,'Pagos de Cuotas'!F:F)</f>
        <v>0</v>
      </c>
      <c r="L205" s="3">
        <f t="shared" si="10"/>
        <v>0</v>
      </c>
      <c r="M205" s="3" t="str">
        <f t="shared" si="11"/>
        <v>Finalizada</v>
      </c>
    </row>
    <row r="206" spans="9:13" x14ac:dyDescent="0.3">
      <c r="I206" s="3">
        <f>COUNTIF('Pagos de Cuotas'!C:C,A206)</f>
        <v>0</v>
      </c>
      <c r="J206" s="3">
        <f t="shared" si="9"/>
        <v>0</v>
      </c>
      <c r="K206" s="3">
        <f>SUMIF('Pagos de Cuotas'!C:C,A206,'Pagos de Cuotas'!F:F)</f>
        <v>0</v>
      </c>
      <c r="L206" s="3">
        <f t="shared" si="10"/>
        <v>0</v>
      </c>
      <c r="M206" s="3" t="str">
        <f t="shared" si="11"/>
        <v>Finalizada</v>
      </c>
    </row>
    <row r="207" spans="9:13" x14ac:dyDescent="0.3">
      <c r="I207" s="3">
        <f>COUNTIF('Pagos de Cuotas'!C:C,A207)</f>
        <v>0</v>
      </c>
      <c r="J207" s="3">
        <f t="shared" si="9"/>
        <v>0</v>
      </c>
      <c r="K207" s="3">
        <f>SUMIF('Pagos de Cuotas'!C:C,A207,'Pagos de Cuotas'!F:F)</f>
        <v>0</v>
      </c>
      <c r="L207" s="3">
        <f t="shared" si="10"/>
        <v>0</v>
      </c>
      <c r="M207" s="3" t="str">
        <f t="shared" si="11"/>
        <v>Finalizada</v>
      </c>
    </row>
    <row r="208" spans="9:13" x14ac:dyDescent="0.3">
      <c r="I208" s="3">
        <f>COUNTIF('Pagos de Cuotas'!C:C,A208)</f>
        <v>0</v>
      </c>
      <c r="J208" s="3">
        <f t="shared" si="9"/>
        <v>0</v>
      </c>
      <c r="K208" s="3">
        <f>SUMIF('Pagos de Cuotas'!C:C,A208,'Pagos de Cuotas'!F:F)</f>
        <v>0</v>
      </c>
      <c r="L208" s="3">
        <f t="shared" si="10"/>
        <v>0</v>
      </c>
      <c r="M208" s="3" t="str">
        <f t="shared" si="11"/>
        <v>Finalizada</v>
      </c>
    </row>
    <row r="209" spans="9:13" x14ac:dyDescent="0.3">
      <c r="I209" s="3">
        <f>COUNTIF('Pagos de Cuotas'!C:C,A209)</f>
        <v>0</v>
      </c>
      <c r="J209" s="3">
        <f t="shared" si="9"/>
        <v>0</v>
      </c>
      <c r="K209" s="3">
        <f>SUMIF('Pagos de Cuotas'!C:C,A209,'Pagos de Cuotas'!F:F)</f>
        <v>0</v>
      </c>
      <c r="L209" s="3">
        <f t="shared" si="10"/>
        <v>0</v>
      </c>
      <c r="M209" s="3" t="str">
        <f t="shared" si="11"/>
        <v>Finalizada</v>
      </c>
    </row>
    <row r="210" spans="9:13" x14ac:dyDescent="0.3">
      <c r="I210" s="3">
        <f>COUNTIF('Pagos de Cuotas'!C:C,A210)</f>
        <v>0</v>
      </c>
      <c r="J210" s="3">
        <f t="shared" si="9"/>
        <v>0</v>
      </c>
      <c r="K210" s="3">
        <f>SUMIF('Pagos de Cuotas'!C:C,A210,'Pagos de Cuotas'!F:F)</f>
        <v>0</v>
      </c>
      <c r="L210" s="3">
        <f t="shared" si="10"/>
        <v>0</v>
      </c>
      <c r="M210" s="3" t="str">
        <f t="shared" si="11"/>
        <v>Finalizada</v>
      </c>
    </row>
    <row r="211" spans="9:13" x14ac:dyDescent="0.3">
      <c r="I211" s="3">
        <f>COUNTIF('Pagos de Cuotas'!C:C,A211)</f>
        <v>0</v>
      </c>
      <c r="J211" s="3">
        <f t="shared" si="9"/>
        <v>0</v>
      </c>
      <c r="K211" s="3">
        <f>SUMIF('Pagos de Cuotas'!C:C,A211,'Pagos de Cuotas'!F:F)</f>
        <v>0</v>
      </c>
      <c r="L211" s="3">
        <f t="shared" si="10"/>
        <v>0</v>
      </c>
      <c r="M211" s="3" t="str">
        <f t="shared" si="11"/>
        <v>Finalizada</v>
      </c>
    </row>
    <row r="212" spans="9:13" x14ac:dyDescent="0.3">
      <c r="I212" s="3">
        <f>COUNTIF('Pagos de Cuotas'!C:C,A212)</f>
        <v>0</v>
      </c>
      <c r="J212" s="3">
        <f t="shared" si="9"/>
        <v>0</v>
      </c>
      <c r="K212" s="3">
        <f>SUMIF('Pagos de Cuotas'!C:C,A212,'Pagos de Cuotas'!F:F)</f>
        <v>0</v>
      </c>
      <c r="L212" s="3">
        <f t="shared" si="10"/>
        <v>0</v>
      </c>
      <c r="M212" s="3" t="str">
        <f t="shared" si="11"/>
        <v>Finalizada</v>
      </c>
    </row>
    <row r="213" spans="9:13" x14ac:dyDescent="0.3">
      <c r="I213" s="3">
        <f>COUNTIF('Pagos de Cuotas'!C:C,A213)</f>
        <v>0</v>
      </c>
      <c r="J213" s="3">
        <f t="shared" si="9"/>
        <v>0</v>
      </c>
      <c r="K213" s="3">
        <f>SUMIF('Pagos de Cuotas'!C:C,A213,'Pagos de Cuotas'!F:F)</f>
        <v>0</v>
      </c>
      <c r="L213" s="3">
        <f t="shared" si="10"/>
        <v>0</v>
      </c>
      <c r="M213" s="3" t="str">
        <f t="shared" si="11"/>
        <v>Finalizada</v>
      </c>
    </row>
    <row r="214" spans="9:13" x14ac:dyDescent="0.3">
      <c r="I214" s="3">
        <f>COUNTIF('Pagos de Cuotas'!C:C,A214)</f>
        <v>0</v>
      </c>
      <c r="J214" s="3">
        <f t="shared" si="9"/>
        <v>0</v>
      </c>
      <c r="K214" s="3">
        <f>SUMIF('Pagos de Cuotas'!C:C,A214,'Pagos de Cuotas'!F:F)</f>
        <v>0</v>
      </c>
      <c r="L214" s="3">
        <f t="shared" si="10"/>
        <v>0</v>
      </c>
      <c r="M214" s="3" t="str">
        <f t="shared" si="11"/>
        <v>Finalizada</v>
      </c>
    </row>
    <row r="215" spans="9:13" x14ac:dyDescent="0.3">
      <c r="I215" s="3">
        <f>COUNTIF('Pagos de Cuotas'!C:C,A215)</f>
        <v>0</v>
      </c>
      <c r="J215" s="3">
        <f t="shared" si="9"/>
        <v>0</v>
      </c>
      <c r="K215" s="3">
        <f>SUMIF('Pagos de Cuotas'!C:C,A215,'Pagos de Cuotas'!F:F)</f>
        <v>0</v>
      </c>
      <c r="L215" s="3">
        <f t="shared" si="10"/>
        <v>0</v>
      </c>
      <c r="M215" s="3" t="str">
        <f t="shared" si="11"/>
        <v>Finalizada</v>
      </c>
    </row>
    <row r="216" spans="9:13" x14ac:dyDescent="0.3">
      <c r="I216" s="3">
        <f>COUNTIF('Pagos de Cuotas'!C:C,A216)</f>
        <v>0</v>
      </c>
      <c r="J216" s="3">
        <f t="shared" si="9"/>
        <v>0</v>
      </c>
      <c r="K216" s="3">
        <f>SUMIF('Pagos de Cuotas'!C:C,A216,'Pagos de Cuotas'!F:F)</f>
        <v>0</v>
      </c>
      <c r="L216" s="3">
        <f t="shared" si="10"/>
        <v>0</v>
      </c>
      <c r="M216" s="3" t="str">
        <f t="shared" si="11"/>
        <v>Finalizada</v>
      </c>
    </row>
    <row r="217" spans="9:13" x14ac:dyDescent="0.3">
      <c r="I217" s="3">
        <f>COUNTIF('Pagos de Cuotas'!C:C,A217)</f>
        <v>0</v>
      </c>
      <c r="J217" s="3">
        <f t="shared" si="9"/>
        <v>0</v>
      </c>
      <c r="K217" s="3">
        <f>SUMIF('Pagos de Cuotas'!C:C,A217,'Pagos de Cuotas'!F:F)</f>
        <v>0</v>
      </c>
      <c r="L217" s="3">
        <f t="shared" si="10"/>
        <v>0</v>
      </c>
      <c r="M217" s="3" t="str">
        <f t="shared" si="11"/>
        <v>Finalizada</v>
      </c>
    </row>
    <row r="218" spans="9:13" x14ac:dyDescent="0.3">
      <c r="I218" s="3">
        <f>COUNTIF('Pagos de Cuotas'!C:C,A218)</f>
        <v>0</v>
      </c>
      <c r="J218" s="3">
        <f t="shared" si="9"/>
        <v>0</v>
      </c>
      <c r="K218" s="3">
        <f>SUMIF('Pagos de Cuotas'!C:C,A218,'Pagos de Cuotas'!F:F)</f>
        <v>0</v>
      </c>
      <c r="L218" s="3">
        <f t="shared" si="10"/>
        <v>0</v>
      </c>
      <c r="M218" s="3" t="str">
        <f t="shared" si="11"/>
        <v>Finalizada</v>
      </c>
    </row>
    <row r="219" spans="9:13" x14ac:dyDescent="0.3">
      <c r="I219" s="3">
        <f>COUNTIF('Pagos de Cuotas'!C:C,A219)</f>
        <v>0</v>
      </c>
      <c r="J219" s="3">
        <f t="shared" si="9"/>
        <v>0</v>
      </c>
      <c r="K219" s="3">
        <f>SUMIF('Pagos de Cuotas'!C:C,A219,'Pagos de Cuotas'!F:F)</f>
        <v>0</v>
      </c>
      <c r="L219" s="3">
        <f t="shared" si="10"/>
        <v>0</v>
      </c>
      <c r="M219" s="3" t="str">
        <f t="shared" si="11"/>
        <v>Finalizada</v>
      </c>
    </row>
    <row r="220" spans="9:13" x14ac:dyDescent="0.3">
      <c r="I220" s="3">
        <f>COUNTIF('Pagos de Cuotas'!C:C,A220)</f>
        <v>0</v>
      </c>
      <c r="J220" s="3">
        <f t="shared" si="9"/>
        <v>0</v>
      </c>
      <c r="K220" s="3">
        <f>SUMIF('Pagos de Cuotas'!C:C,A220,'Pagos de Cuotas'!F:F)</f>
        <v>0</v>
      </c>
      <c r="L220" s="3">
        <f t="shared" si="10"/>
        <v>0</v>
      </c>
      <c r="M220" s="3" t="str">
        <f t="shared" si="11"/>
        <v>Finalizada</v>
      </c>
    </row>
    <row r="221" spans="9:13" x14ac:dyDescent="0.3">
      <c r="I221" s="3">
        <f>COUNTIF('Pagos de Cuotas'!C:C,A221)</f>
        <v>0</v>
      </c>
      <c r="J221" s="3">
        <f t="shared" si="9"/>
        <v>0</v>
      </c>
      <c r="K221" s="3">
        <f>SUMIF('Pagos de Cuotas'!C:C,A221,'Pagos de Cuotas'!F:F)</f>
        <v>0</v>
      </c>
      <c r="L221" s="3">
        <f t="shared" si="10"/>
        <v>0</v>
      </c>
      <c r="M221" s="3" t="str">
        <f t="shared" si="11"/>
        <v>Finalizada</v>
      </c>
    </row>
    <row r="222" spans="9:13" x14ac:dyDescent="0.3">
      <c r="I222" s="3">
        <f>COUNTIF('Pagos de Cuotas'!C:C,A222)</f>
        <v>0</v>
      </c>
      <c r="J222" s="3">
        <f t="shared" si="9"/>
        <v>0</v>
      </c>
      <c r="K222" s="3">
        <f>SUMIF('Pagos de Cuotas'!C:C,A222,'Pagos de Cuotas'!F:F)</f>
        <v>0</v>
      </c>
      <c r="L222" s="3">
        <f t="shared" si="10"/>
        <v>0</v>
      </c>
      <c r="M222" s="3" t="str">
        <f t="shared" si="11"/>
        <v>Finalizada</v>
      </c>
    </row>
    <row r="223" spans="9:13" x14ac:dyDescent="0.3">
      <c r="I223" s="3">
        <f>COUNTIF('Pagos de Cuotas'!C:C,A223)</f>
        <v>0</v>
      </c>
      <c r="J223" s="3">
        <f t="shared" si="9"/>
        <v>0</v>
      </c>
      <c r="K223" s="3">
        <f>SUMIF('Pagos de Cuotas'!C:C,A223,'Pagos de Cuotas'!F:F)</f>
        <v>0</v>
      </c>
      <c r="L223" s="3">
        <f t="shared" si="10"/>
        <v>0</v>
      </c>
      <c r="M223" s="3" t="str">
        <f t="shared" si="11"/>
        <v>Finalizada</v>
      </c>
    </row>
    <row r="224" spans="9:13" x14ac:dyDescent="0.3">
      <c r="I224" s="3">
        <f>COUNTIF('Pagos de Cuotas'!C:C,A224)</f>
        <v>0</v>
      </c>
      <c r="J224" s="3">
        <f t="shared" si="9"/>
        <v>0</v>
      </c>
      <c r="K224" s="3">
        <f>SUMIF('Pagos de Cuotas'!C:C,A224,'Pagos de Cuotas'!F:F)</f>
        <v>0</v>
      </c>
      <c r="L224" s="3">
        <f t="shared" si="10"/>
        <v>0</v>
      </c>
      <c r="M224" s="3" t="str">
        <f t="shared" si="11"/>
        <v>Finalizada</v>
      </c>
    </row>
    <row r="225" spans="9:13" x14ac:dyDescent="0.3">
      <c r="I225" s="3">
        <f>COUNTIF('Pagos de Cuotas'!C:C,A225)</f>
        <v>0</v>
      </c>
      <c r="J225" s="3">
        <f t="shared" si="9"/>
        <v>0</v>
      </c>
      <c r="K225" s="3">
        <f>SUMIF('Pagos de Cuotas'!C:C,A225,'Pagos de Cuotas'!F:F)</f>
        <v>0</v>
      </c>
      <c r="L225" s="3">
        <f t="shared" si="10"/>
        <v>0</v>
      </c>
      <c r="M225" s="3" t="str">
        <f t="shared" si="11"/>
        <v>Finalizada</v>
      </c>
    </row>
    <row r="226" spans="9:13" x14ac:dyDescent="0.3">
      <c r="I226" s="3">
        <f>COUNTIF('Pagos de Cuotas'!C:C,A226)</f>
        <v>0</v>
      </c>
      <c r="J226" s="3">
        <f t="shared" si="9"/>
        <v>0</v>
      </c>
      <c r="K226" s="3">
        <f>SUMIF('Pagos de Cuotas'!C:C,A226,'Pagos de Cuotas'!F:F)</f>
        <v>0</v>
      </c>
      <c r="L226" s="3">
        <f t="shared" si="10"/>
        <v>0</v>
      </c>
      <c r="M226" s="3" t="str">
        <f t="shared" si="11"/>
        <v>Finalizada</v>
      </c>
    </row>
    <row r="227" spans="9:13" x14ac:dyDescent="0.3">
      <c r="I227" s="3">
        <f>COUNTIF('Pagos de Cuotas'!C:C,A227)</f>
        <v>0</v>
      </c>
      <c r="J227" s="3">
        <f t="shared" si="9"/>
        <v>0</v>
      </c>
      <c r="K227" s="3">
        <f>SUMIF('Pagos de Cuotas'!C:C,A227,'Pagos de Cuotas'!F:F)</f>
        <v>0</v>
      </c>
      <c r="L227" s="3">
        <f t="shared" si="10"/>
        <v>0</v>
      </c>
      <c r="M227" s="3" t="str">
        <f t="shared" si="11"/>
        <v>Finalizada</v>
      </c>
    </row>
    <row r="228" spans="9:13" x14ac:dyDescent="0.3">
      <c r="I228" s="3">
        <f>COUNTIF('Pagos de Cuotas'!C:C,A228)</f>
        <v>0</v>
      </c>
      <c r="J228" s="3">
        <f t="shared" si="9"/>
        <v>0</v>
      </c>
      <c r="K228" s="3">
        <f>SUMIF('Pagos de Cuotas'!C:C,A228,'Pagos de Cuotas'!F:F)</f>
        <v>0</v>
      </c>
      <c r="L228" s="3">
        <f t="shared" si="10"/>
        <v>0</v>
      </c>
      <c r="M228" s="3" t="str">
        <f t="shared" si="11"/>
        <v>Finalizada</v>
      </c>
    </row>
    <row r="229" spans="9:13" x14ac:dyDescent="0.3">
      <c r="I229" s="3">
        <f>COUNTIF('Pagos de Cuotas'!C:C,A229)</f>
        <v>0</v>
      </c>
      <c r="J229" s="3">
        <f t="shared" si="9"/>
        <v>0</v>
      </c>
      <c r="K229" s="3">
        <f>SUMIF('Pagos de Cuotas'!C:C,A229,'Pagos de Cuotas'!F:F)</f>
        <v>0</v>
      </c>
      <c r="L229" s="3">
        <f t="shared" si="10"/>
        <v>0</v>
      </c>
      <c r="M229" s="3" t="str">
        <f t="shared" si="11"/>
        <v>Finalizada</v>
      </c>
    </row>
    <row r="230" spans="9:13" x14ac:dyDescent="0.3">
      <c r="I230" s="3">
        <f>COUNTIF('Pagos de Cuotas'!C:C,A230)</f>
        <v>0</v>
      </c>
      <c r="J230" s="3">
        <f t="shared" si="9"/>
        <v>0</v>
      </c>
      <c r="K230" s="3">
        <f>SUMIF('Pagos de Cuotas'!C:C,A230,'Pagos de Cuotas'!F:F)</f>
        <v>0</v>
      </c>
      <c r="L230" s="3">
        <f t="shared" si="10"/>
        <v>0</v>
      </c>
      <c r="M230" s="3" t="str">
        <f t="shared" si="11"/>
        <v>Finalizada</v>
      </c>
    </row>
    <row r="231" spans="9:13" x14ac:dyDescent="0.3">
      <c r="I231" s="3">
        <f>COUNTIF('Pagos de Cuotas'!C:C,A231)</f>
        <v>0</v>
      </c>
      <c r="J231" s="3">
        <f t="shared" si="9"/>
        <v>0</v>
      </c>
      <c r="K231" s="3">
        <f>SUMIF('Pagos de Cuotas'!C:C,A231,'Pagos de Cuotas'!F:F)</f>
        <v>0</v>
      </c>
      <c r="L231" s="3">
        <f t="shared" si="10"/>
        <v>0</v>
      </c>
      <c r="M231" s="3" t="str">
        <f t="shared" si="11"/>
        <v>Finalizada</v>
      </c>
    </row>
    <row r="232" spans="9:13" x14ac:dyDescent="0.3">
      <c r="I232" s="3">
        <f>COUNTIF('Pagos de Cuotas'!C:C,A232)</f>
        <v>0</v>
      </c>
      <c r="J232" s="3">
        <f t="shared" si="9"/>
        <v>0</v>
      </c>
      <c r="K232" s="3">
        <f>SUMIF('Pagos de Cuotas'!C:C,A232,'Pagos de Cuotas'!F:F)</f>
        <v>0</v>
      </c>
      <c r="L232" s="3">
        <f t="shared" si="10"/>
        <v>0</v>
      </c>
      <c r="M232" s="3" t="str">
        <f t="shared" si="11"/>
        <v>Finalizada</v>
      </c>
    </row>
    <row r="233" spans="9:13" x14ac:dyDescent="0.3">
      <c r="I233" s="3">
        <f>COUNTIF('Pagos de Cuotas'!C:C,A233)</f>
        <v>0</v>
      </c>
      <c r="J233" s="3">
        <f t="shared" si="9"/>
        <v>0</v>
      </c>
      <c r="K233" s="3">
        <f>SUMIF('Pagos de Cuotas'!C:C,A233,'Pagos de Cuotas'!F:F)</f>
        <v>0</v>
      </c>
      <c r="L233" s="3">
        <f t="shared" si="10"/>
        <v>0</v>
      </c>
      <c r="M233" s="3" t="str">
        <f t="shared" si="11"/>
        <v>Finalizada</v>
      </c>
    </row>
    <row r="234" spans="9:13" x14ac:dyDescent="0.3">
      <c r="I234" s="3">
        <f>COUNTIF('Pagos de Cuotas'!C:C,A234)</f>
        <v>0</v>
      </c>
      <c r="J234" s="3">
        <f t="shared" si="9"/>
        <v>0</v>
      </c>
      <c r="K234" s="3">
        <f>SUMIF('Pagos de Cuotas'!C:C,A234,'Pagos de Cuotas'!F:F)</f>
        <v>0</v>
      </c>
      <c r="L234" s="3">
        <f t="shared" si="10"/>
        <v>0</v>
      </c>
      <c r="M234" s="3" t="str">
        <f t="shared" si="11"/>
        <v>Finalizada</v>
      </c>
    </row>
    <row r="235" spans="9:13" x14ac:dyDescent="0.3">
      <c r="I235" s="3">
        <f>COUNTIF('Pagos de Cuotas'!C:C,A235)</f>
        <v>0</v>
      </c>
      <c r="J235" s="3">
        <f t="shared" si="9"/>
        <v>0</v>
      </c>
      <c r="K235" s="3">
        <f>SUMIF('Pagos de Cuotas'!C:C,A235,'Pagos de Cuotas'!F:F)</f>
        <v>0</v>
      </c>
      <c r="L235" s="3">
        <f t="shared" si="10"/>
        <v>0</v>
      </c>
      <c r="M235" s="3" t="str">
        <f t="shared" si="11"/>
        <v>Finalizada</v>
      </c>
    </row>
    <row r="236" spans="9:13" x14ac:dyDescent="0.3">
      <c r="I236" s="3">
        <f>COUNTIF('Pagos de Cuotas'!C:C,A236)</f>
        <v>0</v>
      </c>
      <c r="J236" s="3">
        <f t="shared" si="9"/>
        <v>0</v>
      </c>
      <c r="K236" s="3">
        <f>SUMIF('Pagos de Cuotas'!C:C,A236,'Pagos de Cuotas'!F:F)</f>
        <v>0</v>
      </c>
      <c r="L236" s="3">
        <f t="shared" si="10"/>
        <v>0</v>
      </c>
      <c r="M236" s="3" t="str">
        <f t="shared" si="11"/>
        <v>Finalizada</v>
      </c>
    </row>
    <row r="237" spans="9:13" x14ac:dyDescent="0.3">
      <c r="I237" s="3">
        <f>COUNTIF('Pagos de Cuotas'!C:C,A237)</f>
        <v>0</v>
      </c>
      <c r="J237" s="3">
        <f t="shared" si="9"/>
        <v>0</v>
      </c>
      <c r="K237" s="3">
        <f>SUMIF('Pagos de Cuotas'!C:C,A237,'Pagos de Cuotas'!F:F)</f>
        <v>0</v>
      </c>
      <c r="L237" s="3">
        <f t="shared" si="10"/>
        <v>0</v>
      </c>
      <c r="M237" s="3" t="str">
        <f t="shared" si="11"/>
        <v>Finalizada</v>
      </c>
    </row>
    <row r="238" spans="9:13" x14ac:dyDescent="0.3">
      <c r="I238" s="3">
        <f>COUNTIF('Pagos de Cuotas'!C:C,A238)</f>
        <v>0</v>
      </c>
      <c r="J238" s="3">
        <f t="shared" si="9"/>
        <v>0</v>
      </c>
      <c r="K238" s="3">
        <f>SUMIF('Pagos de Cuotas'!C:C,A238,'Pagos de Cuotas'!F:F)</f>
        <v>0</v>
      </c>
      <c r="L238" s="3">
        <f t="shared" si="10"/>
        <v>0</v>
      </c>
      <c r="M238" s="3" t="str">
        <f t="shared" si="11"/>
        <v>Finalizada</v>
      </c>
    </row>
    <row r="239" spans="9:13" x14ac:dyDescent="0.3">
      <c r="I239" s="3">
        <f>COUNTIF('Pagos de Cuotas'!C:C,A239)</f>
        <v>0</v>
      </c>
      <c r="J239" s="3">
        <f t="shared" si="9"/>
        <v>0</v>
      </c>
      <c r="K239" s="3">
        <f>SUMIF('Pagos de Cuotas'!C:C,A239,'Pagos de Cuotas'!F:F)</f>
        <v>0</v>
      </c>
      <c r="L239" s="3">
        <f t="shared" si="10"/>
        <v>0</v>
      </c>
      <c r="M239" s="3" t="str">
        <f t="shared" si="11"/>
        <v>Finalizada</v>
      </c>
    </row>
    <row r="240" spans="9:13" x14ac:dyDescent="0.3">
      <c r="I240" s="3">
        <f>COUNTIF('Pagos de Cuotas'!C:C,A240)</f>
        <v>0</v>
      </c>
      <c r="J240" s="3">
        <f t="shared" si="9"/>
        <v>0</v>
      </c>
      <c r="K240" s="3">
        <f>SUMIF('Pagos de Cuotas'!C:C,A240,'Pagos de Cuotas'!F:F)</f>
        <v>0</v>
      </c>
      <c r="L240" s="3">
        <f t="shared" si="10"/>
        <v>0</v>
      </c>
      <c r="M240" s="3" t="str">
        <f t="shared" si="11"/>
        <v>Finalizada</v>
      </c>
    </row>
    <row r="241" spans="9:13" x14ac:dyDescent="0.3">
      <c r="I241" s="3">
        <f>COUNTIF('Pagos de Cuotas'!C:C,A241)</f>
        <v>0</v>
      </c>
      <c r="J241" s="3">
        <f t="shared" si="9"/>
        <v>0</v>
      </c>
      <c r="K241" s="3">
        <f>SUMIF('Pagos de Cuotas'!C:C,A241,'Pagos de Cuotas'!F:F)</f>
        <v>0</v>
      </c>
      <c r="L241" s="3">
        <f t="shared" si="10"/>
        <v>0</v>
      </c>
      <c r="M241" s="3" t="str">
        <f t="shared" si="11"/>
        <v>Finalizada</v>
      </c>
    </row>
    <row r="242" spans="9:13" x14ac:dyDescent="0.3">
      <c r="I242" s="3">
        <f>COUNTIF('Pagos de Cuotas'!C:C,A242)</f>
        <v>0</v>
      </c>
      <c r="J242" s="3">
        <f t="shared" si="9"/>
        <v>0</v>
      </c>
      <c r="K242" s="3">
        <f>SUMIF('Pagos de Cuotas'!C:C,A242,'Pagos de Cuotas'!F:F)</f>
        <v>0</v>
      </c>
      <c r="L242" s="3">
        <f t="shared" si="10"/>
        <v>0</v>
      </c>
      <c r="M242" s="3" t="str">
        <f t="shared" si="11"/>
        <v>Finalizada</v>
      </c>
    </row>
    <row r="243" spans="9:13" x14ac:dyDescent="0.3">
      <c r="I243" s="3">
        <f>COUNTIF('Pagos de Cuotas'!C:C,A243)</f>
        <v>0</v>
      </c>
      <c r="J243" s="3">
        <f t="shared" si="9"/>
        <v>0</v>
      </c>
      <c r="K243" s="3">
        <f>SUMIF('Pagos de Cuotas'!C:C,A243,'Pagos de Cuotas'!F:F)</f>
        <v>0</v>
      </c>
      <c r="L243" s="3">
        <f t="shared" si="10"/>
        <v>0</v>
      </c>
      <c r="M243" s="3" t="str">
        <f t="shared" si="11"/>
        <v>Finalizada</v>
      </c>
    </row>
    <row r="244" spans="9:13" x14ac:dyDescent="0.3">
      <c r="I244" s="3">
        <f>COUNTIF('Pagos de Cuotas'!C:C,A244)</f>
        <v>0</v>
      </c>
      <c r="J244" s="3">
        <f t="shared" si="9"/>
        <v>0</v>
      </c>
      <c r="K244" s="3">
        <f>SUMIF('Pagos de Cuotas'!C:C,A244,'Pagos de Cuotas'!F:F)</f>
        <v>0</v>
      </c>
      <c r="L244" s="3">
        <f t="shared" si="10"/>
        <v>0</v>
      </c>
      <c r="M244" s="3" t="str">
        <f t="shared" si="11"/>
        <v>Finalizada</v>
      </c>
    </row>
    <row r="245" spans="9:13" x14ac:dyDescent="0.3">
      <c r="I245" s="3">
        <f>COUNTIF('Pagos de Cuotas'!C:C,A245)</f>
        <v>0</v>
      </c>
      <c r="J245" s="3">
        <f t="shared" si="9"/>
        <v>0</v>
      </c>
      <c r="K245" s="3">
        <f>SUMIF('Pagos de Cuotas'!C:C,A245,'Pagos de Cuotas'!F:F)</f>
        <v>0</v>
      </c>
      <c r="L245" s="3">
        <f t="shared" si="10"/>
        <v>0</v>
      </c>
      <c r="M245" s="3" t="str">
        <f t="shared" si="11"/>
        <v>Finalizada</v>
      </c>
    </row>
    <row r="246" spans="9:13" x14ac:dyDescent="0.3">
      <c r="I246" s="3">
        <f>COUNTIF('Pagos de Cuotas'!C:C,A246)</f>
        <v>0</v>
      </c>
      <c r="J246" s="3">
        <f t="shared" si="9"/>
        <v>0</v>
      </c>
      <c r="K246" s="3">
        <f>SUMIF('Pagos de Cuotas'!C:C,A246,'Pagos de Cuotas'!F:F)</f>
        <v>0</v>
      </c>
      <c r="L246" s="3">
        <f t="shared" si="10"/>
        <v>0</v>
      </c>
      <c r="M246" s="3" t="str">
        <f t="shared" si="11"/>
        <v>Finalizada</v>
      </c>
    </row>
    <row r="247" spans="9:13" x14ac:dyDescent="0.3">
      <c r="I247" s="3">
        <f>COUNTIF('Pagos de Cuotas'!C:C,A247)</f>
        <v>0</v>
      </c>
      <c r="J247" s="3">
        <f t="shared" si="9"/>
        <v>0</v>
      </c>
      <c r="K247" s="3">
        <f>SUMIF('Pagos de Cuotas'!C:C,A247,'Pagos de Cuotas'!F:F)</f>
        <v>0</v>
      </c>
      <c r="L247" s="3">
        <f t="shared" si="10"/>
        <v>0</v>
      </c>
      <c r="M247" s="3" t="str">
        <f t="shared" si="11"/>
        <v>Finalizada</v>
      </c>
    </row>
    <row r="248" spans="9:13" x14ac:dyDescent="0.3">
      <c r="I248" s="3">
        <f>COUNTIF('Pagos de Cuotas'!C:C,A248)</f>
        <v>0</v>
      </c>
      <c r="J248" s="3">
        <f t="shared" si="9"/>
        <v>0</v>
      </c>
      <c r="K248" s="3">
        <f>SUMIF('Pagos de Cuotas'!C:C,A248,'Pagos de Cuotas'!F:F)</f>
        <v>0</v>
      </c>
      <c r="L248" s="3">
        <f t="shared" si="10"/>
        <v>0</v>
      </c>
      <c r="M248" s="3" t="str">
        <f t="shared" si="11"/>
        <v>Finalizada</v>
      </c>
    </row>
    <row r="249" spans="9:13" x14ac:dyDescent="0.3">
      <c r="I249" s="3">
        <f>COUNTIF('Pagos de Cuotas'!C:C,A249)</f>
        <v>0</v>
      </c>
      <c r="J249" s="3">
        <f t="shared" si="9"/>
        <v>0</v>
      </c>
      <c r="K249" s="3">
        <f>SUMIF('Pagos de Cuotas'!C:C,A249,'Pagos de Cuotas'!F:F)</f>
        <v>0</v>
      </c>
      <c r="L249" s="3">
        <f t="shared" si="10"/>
        <v>0</v>
      </c>
      <c r="M249" s="3" t="str">
        <f t="shared" si="11"/>
        <v>Finalizada</v>
      </c>
    </row>
    <row r="250" spans="9:13" x14ac:dyDescent="0.3">
      <c r="I250" s="3">
        <f>COUNTIF('Pagos de Cuotas'!C:C,A250)</f>
        <v>0</v>
      </c>
      <c r="J250" s="3">
        <f t="shared" si="9"/>
        <v>0</v>
      </c>
      <c r="K250" s="3">
        <f>SUMIF('Pagos de Cuotas'!C:C,A250,'Pagos de Cuotas'!F:F)</f>
        <v>0</v>
      </c>
      <c r="L250" s="3">
        <f t="shared" si="10"/>
        <v>0</v>
      </c>
      <c r="M250" s="3" t="str">
        <f t="shared" si="11"/>
        <v>Finalizada</v>
      </c>
    </row>
    <row r="251" spans="9:13" x14ac:dyDescent="0.3">
      <c r="I251" s="3">
        <f>COUNTIF('Pagos de Cuotas'!C:C,A251)</f>
        <v>0</v>
      </c>
      <c r="J251" s="3">
        <f t="shared" si="9"/>
        <v>0</v>
      </c>
      <c r="K251" s="3">
        <f>SUMIF('Pagos de Cuotas'!C:C,A251,'Pagos de Cuotas'!F:F)</f>
        <v>0</v>
      </c>
      <c r="L251" s="3">
        <f t="shared" si="10"/>
        <v>0</v>
      </c>
      <c r="M251" s="3" t="str">
        <f t="shared" si="11"/>
        <v>Finalizada</v>
      </c>
    </row>
    <row r="252" spans="9:13" x14ac:dyDescent="0.3">
      <c r="I252" s="3">
        <f>COUNTIF('Pagos de Cuotas'!C:C,A252)</f>
        <v>0</v>
      </c>
      <c r="J252" s="3">
        <f t="shared" si="9"/>
        <v>0</v>
      </c>
      <c r="K252" s="3">
        <f>SUMIF('Pagos de Cuotas'!C:C,A252,'Pagos de Cuotas'!F:F)</f>
        <v>0</v>
      </c>
      <c r="L252" s="3">
        <f t="shared" si="10"/>
        <v>0</v>
      </c>
      <c r="M252" s="3" t="str">
        <f t="shared" si="11"/>
        <v>Finalizada</v>
      </c>
    </row>
    <row r="253" spans="9:13" x14ac:dyDescent="0.3">
      <c r="I253" s="3">
        <f>COUNTIF('Pagos de Cuotas'!C:C,A253)</f>
        <v>0</v>
      </c>
      <c r="J253" s="3">
        <f t="shared" si="9"/>
        <v>0</v>
      </c>
      <c r="K253" s="3">
        <f>SUMIF('Pagos de Cuotas'!C:C,A253,'Pagos de Cuotas'!F:F)</f>
        <v>0</v>
      </c>
      <c r="L253" s="3">
        <f t="shared" si="10"/>
        <v>0</v>
      </c>
      <c r="M253" s="3" t="str">
        <f t="shared" si="11"/>
        <v>Finalizada</v>
      </c>
    </row>
    <row r="254" spans="9:13" x14ac:dyDescent="0.3">
      <c r="I254" s="3">
        <f>COUNTIF('Pagos de Cuotas'!C:C,A254)</f>
        <v>0</v>
      </c>
      <c r="J254" s="3">
        <f t="shared" si="9"/>
        <v>0</v>
      </c>
      <c r="K254" s="3">
        <f>SUMIF('Pagos de Cuotas'!C:C,A254,'Pagos de Cuotas'!F:F)</f>
        <v>0</v>
      </c>
      <c r="L254" s="3">
        <f t="shared" si="10"/>
        <v>0</v>
      </c>
      <c r="M254" s="3" t="str">
        <f t="shared" si="11"/>
        <v>Finalizada</v>
      </c>
    </row>
    <row r="255" spans="9:13" x14ac:dyDescent="0.3">
      <c r="I255" s="3">
        <f>COUNTIF('Pagos de Cuotas'!C:C,A255)</f>
        <v>0</v>
      </c>
      <c r="J255" s="3">
        <f t="shared" si="9"/>
        <v>0</v>
      </c>
      <c r="K255" s="3">
        <f>SUMIF('Pagos de Cuotas'!C:C,A255,'Pagos de Cuotas'!F:F)</f>
        <v>0</v>
      </c>
      <c r="L255" s="3">
        <f t="shared" si="10"/>
        <v>0</v>
      </c>
      <c r="M255" s="3" t="str">
        <f t="shared" si="11"/>
        <v>Finalizada</v>
      </c>
    </row>
    <row r="256" spans="9:13" x14ac:dyDescent="0.3">
      <c r="I256" s="3">
        <f>COUNTIF('Pagos de Cuotas'!C:C,A256)</f>
        <v>0</v>
      </c>
      <c r="J256" s="3">
        <f t="shared" si="9"/>
        <v>0</v>
      </c>
      <c r="K256" s="3">
        <f>SUMIF('Pagos de Cuotas'!C:C,A256,'Pagos de Cuotas'!F:F)</f>
        <v>0</v>
      </c>
      <c r="L256" s="3">
        <f t="shared" si="10"/>
        <v>0</v>
      </c>
      <c r="M256" s="3" t="str">
        <f t="shared" si="11"/>
        <v>Finalizada</v>
      </c>
    </row>
    <row r="257" spans="9:13" x14ac:dyDescent="0.3">
      <c r="I257" s="3">
        <f>COUNTIF('Pagos de Cuotas'!C:C,A257)</f>
        <v>0</v>
      </c>
      <c r="J257" s="3">
        <f t="shared" si="9"/>
        <v>0</v>
      </c>
      <c r="K257" s="3">
        <f>SUMIF('Pagos de Cuotas'!C:C,A257,'Pagos de Cuotas'!F:F)</f>
        <v>0</v>
      </c>
      <c r="L257" s="3">
        <f t="shared" si="10"/>
        <v>0</v>
      </c>
      <c r="M257" s="3" t="str">
        <f t="shared" si="11"/>
        <v>Finalizada</v>
      </c>
    </row>
    <row r="258" spans="9:13" x14ac:dyDescent="0.3">
      <c r="I258" s="3">
        <f>COUNTIF('Pagos de Cuotas'!C:C,A258)</f>
        <v>0</v>
      </c>
      <c r="J258" s="3">
        <f t="shared" ref="J258:J301" si="12">E258-I258</f>
        <v>0</v>
      </c>
      <c r="K258" s="3">
        <f>SUMIF('Pagos de Cuotas'!C:C,A258,'Pagos de Cuotas'!F:F)</f>
        <v>0</v>
      </c>
      <c r="L258" s="3">
        <f t="shared" ref="L258:L301" si="13">D258-K258</f>
        <v>0</v>
      </c>
      <c r="M258" s="3" t="str">
        <f t="shared" ref="M258:M301" si="14">IF(L258&lt;=0,"Finalizada",IF(I258=0,"Pendiente","En curso"))</f>
        <v>Finalizada</v>
      </c>
    </row>
    <row r="259" spans="9:13" x14ac:dyDescent="0.3">
      <c r="I259" s="3">
        <f>COUNTIF('Pagos de Cuotas'!C:C,A259)</f>
        <v>0</v>
      </c>
      <c r="J259" s="3">
        <f t="shared" si="12"/>
        <v>0</v>
      </c>
      <c r="K259" s="3">
        <f>SUMIF('Pagos de Cuotas'!C:C,A259,'Pagos de Cuotas'!F:F)</f>
        <v>0</v>
      </c>
      <c r="L259" s="3">
        <f t="shared" si="13"/>
        <v>0</v>
      </c>
      <c r="M259" s="3" t="str">
        <f t="shared" si="14"/>
        <v>Finalizada</v>
      </c>
    </row>
    <row r="260" spans="9:13" x14ac:dyDescent="0.3">
      <c r="I260" s="3">
        <f>COUNTIF('Pagos de Cuotas'!C:C,A260)</f>
        <v>0</v>
      </c>
      <c r="J260" s="3">
        <f t="shared" si="12"/>
        <v>0</v>
      </c>
      <c r="K260" s="3">
        <f>SUMIF('Pagos de Cuotas'!C:C,A260,'Pagos de Cuotas'!F:F)</f>
        <v>0</v>
      </c>
      <c r="L260" s="3">
        <f t="shared" si="13"/>
        <v>0</v>
      </c>
      <c r="M260" s="3" t="str">
        <f t="shared" si="14"/>
        <v>Finalizada</v>
      </c>
    </row>
    <row r="261" spans="9:13" x14ac:dyDescent="0.3">
      <c r="I261" s="3">
        <f>COUNTIF('Pagos de Cuotas'!C:C,A261)</f>
        <v>0</v>
      </c>
      <c r="J261" s="3">
        <f t="shared" si="12"/>
        <v>0</v>
      </c>
      <c r="K261" s="3">
        <f>SUMIF('Pagos de Cuotas'!C:C,A261,'Pagos de Cuotas'!F:F)</f>
        <v>0</v>
      </c>
      <c r="L261" s="3">
        <f t="shared" si="13"/>
        <v>0</v>
      </c>
      <c r="M261" s="3" t="str">
        <f t="shared" si="14"/>
        <v>Finalizada</v>
      </c>
    </row>
    <row r="262" spans="9:13" x14ac:dyDescent="0.3">
      <c r="I262" s="3">
        <f>COUNTIF('Pagos de Cuotas'!C:C,A262)</f>
        <v>0</v>
      </c>
      <c r="J262" s="3">
        <f t="shared" si="12"/>
        <v>0</v>
      </c>
      <c r="K262" s="3">
        <f>SUMIF('Pagos de Cuotas'!C:C,A262,'Pagos de Cuotas'!F:F)</f>
        <v>0</v>
      </c>
      <c r="L262" s="3">
        <f t="shared" si="13"/>
        <v>0</v>
      </c>
      <c r="M262" s="3" t="str">
        <f t="shared" si="14"/>
        <v>Finalizada</v>
      </c>
    </row>
    <row r="263" spans="9:13" x14ac:dyDescent="0.3">
      <c r="I263" s="3">
        <f>COUNTIF('Pagos de Cuotas'!C:C,A263)</f>
        <v>0</v>
      </c>
      <c r="J263" s="3">
        <f t="shared" si="12"/>
        <v>0</v>
      </c>
      <c r="K263" s="3">
        <f>SUMIF('Pagos de Cuotas'!C:C,A263,'Pagos de Cuotas'!F:F)</f>
        <v>0</v>
      </c>
      <c r="L263" s="3">
        <f t="shared" si="13"/>
        <v>0</v>
      </c>
      <c r="M263" s="3" t="str">
        <f t="shared" si="14"/>
        <v>Finalizada</v>
      </c>
    </row>
    <row r="264" spans="9:13" x14ac:dyDescent="0.3">
      <c r="I264" s="3">
        <f>COUNTIF('Pagos de Cuotas'!C:C,A264)</f>
        <v>0</v>
      </c>
      <c r="J264" s="3">
        <f t="shared" si="12"/>
        <v>0</v>
      </c>
      <c r="K264" s="3">
        <f>SUMIF('Pagos de Cuotas'!C:C,A264,'Pagos de Cuotas'!F:F)</f>
        <v>0</v>
      </c>
      <c r="L264" s="3">
        <f t="shared" si="13"/>
        <v>0</v>
      </c>
      <c r="M264" s="3" t="str">
        <f t="shared" si="14"/>
        <v>Finalizada</v>
      </c>
    </row>
    <row r="265" spans="9:13" x14ac:dyDescent="0.3">
      <c r="I265" s="3">
        <f>COUNTIF('Pagos de Cuotas'!C:C,A265)</f>
        <v>0</v>
      </c>
      <c r="J265" s="3">
        <f t="shared" si="12"/>
        <v>0</v>
      </c>
      <c r="K265" s="3">
        <f>SUMIF('Pagos de Cuotas'!C:C,A265,'Pagos de Cuotas'!F:F)</f>
        <v>0</v>
      </c>
      <c r="L265" s="3">
        <f t="shared" si="13"/>
        <v>0</v>
      </c>
      <c r="M265" s="3" t="str">
        <f t="shared" si="14"/>
        <v>Finalizada</v>
      </c>
    </row>
    <row r="266" spans="9:13" x14ac:dyDescent="0.3">
      <c r="I266" s="3">
        <f>COUNTIF('Pagos de Cuotas'!C:C,A266)</f>
        <v>0</v>
      </c>
      <c r="J266" s="3">
        <f t="shared" si="12"/>
        <v>0</v>
      </c>
      <c r="K266" s="3">
        <f>SUMIF('Pagos de Cuotas'!C:C,A266,'Pagos de Cuotas'!F:F)</f>
        <v>0</v>
      </c>
      <c r="L266" s="3">
        <f t="shared" si="13"/>
        <v>0</v>
      </c>
      <c r="M266" s="3" t="str">
        <f t="shared" si="14"/>
        <v>Finalizada</v>
      </c>
    </row>
    <row r="267" spans="9:13" x14ac:dyDescent="0.3">
      <c r="I267" s="3">
        <f>COUNTIF('Pagos de Cuotas'!C:C,A267)</f>
        <v>0</v>
      </c>
      <c r="J267" s="3">
        <f t="shared" si="12"/>
        <v>0</v>
      </c>
      <c r="K267" s="3">
        <f>SUMIF('Pagos de Cuotas'!C:C,A267,'Pagos de Cuotas'!F:F)</f>
        <v>0</v>
      </c>
      <c r="L267" s="3">
        <f t="shared" si="13"/>
        <v>0</v>
      </c>
      <c r="M267" s="3" t="str">
        <f t="shared" si="14"/>
        <v>Finalizada</v>
      </c>
    </row>
    <row r="268" spans="9:13" x14ac:dyDescent="0.3">
      <c r="I268" s="3">
        <f>COUNTIF('Pagos de Cuotas'!C:C,A268)</f>
        <v>0</v>
      </c>
      <c r="J268" s="3">
        <f t="shared" si="12"/>
        <v>0</v>
      </c>
      <c r="K268" s="3">
        <f>SUMIF('Pagos de Cuotas'!C:C,A268,'Pagos de Cuotas'!F:F)</f>
        <v>0</v>
      </c>
      <c r="L268" s="3">
        <f t="shared" si="13"/>
        <v>0</v>
      </c>
      <c r="M268" s="3" t="str">
        <f t="shared" si="14"/>
        <v>Finalizada</v>
      </c>
    </row>
    <row r="269" spans="9:13" x14ac:dyDescent="0.3">
      <c r="I269" s="3">
        <f>COUNTIF('Pagos de Cuotas'!C:C,A269)</f>
        <v>0</v>
      </c>
      <c r="J269" s="3">
        <f t="shared" si="12"/>
        <v>0</v>
      </c>
      <c r="K269" s="3">
        <f>SUMIF('Pagos de Cuotas'!C:C,A269,'Pagos de Cuotas'!F:F)</f>
        <v>0</v>
      </c>
      <c r="L269" s="3">
        <f t="shared" si="13"/>
        <v>0</v>
      </c>
      <c r="M269" s="3" t="str">
        <f t="shared" si="14"/>
        <v>Finalizada</v>
      </c>
    </row>
    <row r="270" spans="9:13" x14ac:dyDescent="0.3">
      <c r="I270" s="3">
        <f>COUNTIF('Pagos de Cuotas'!C:C,A270)</f>
        <v>0</v>
      </c>
      <c r="J270" s="3">
        <f t="shared" si="12"/>
        <v>0</v>
      </c>
      <c r="K270" s="3">
        <f>SUMIF('Pagos de Cuotas'!C:C,A270,'Pagos de Cuotas'!F:F)</f>
        <v>0</v>
      </c>
      <c r="L270" s="3">
        <f t="shared" si="13"/>
        <v>0</v>
      </c>
      <c r="M270" s="3" t="str">
        <f t="shared" si="14"/>
        <v>Finalizada</v>
      </c>
    </row>
    <row r="271" spans="9:13" x14ac:dyDescent="0.3">
      <c r="I271" s="3">
        <f>COUNTIF('Pagos de Cuotas'!C:C,A271)</f>
        <v>0</v>
      </c>
      <c r="J271" s="3">
        <f t="shared" si="12"/>
        <v>0</v>
      </c>
      <c r="K271" s="3">
        <f>SUMIF('Pagos de Cuotas'!C:C,A271,'Pagos de Cuotas'!F:F)</f>
        <v>0</v>
      </c>
      <c r="L271" s="3">
        <f t="shared" si="13"/>
        <v>0</v>
      </c>
      <c r="M271" s="3" t="str">
        <f t="shared" si="14"/>
        <v>Finalizada</v>
      </c>
    </row>
    <row r="272" spans="9:13" x14ac:dyDescent="0.3">
      <c r="I272" s="3">
        <f>COUNTIF('Pagos de Cuotas'!C:C,A272)</f>
        <v>0</v>
      </c>
      <c r="J272" s="3">
        <f t="shared" si="12"/>
        <v>0</v>
      </c>
      <c r="K272" s="3">
        <f>SUMIF('Pagos de Cuotas'!C:C,A272,'Pagos de Cuotas'!F:F)</f>
        <v>0</v>
      </c>
      <c r="L272" s="3">
        <f t="shared" si="13"/>
        <v>0</v>
      </c>
      <c r="M272" s="3" t="str">
        <f t="shared" si="14"/>
        <v>Finalizada</v>
      </c>
    </row>
    <row r="273" spans="9:13" x14ac:dyDescent="0.3">
      <c r="I273" s="3">
        <f>COUNTIF('Pagos de Cuotas'!C:C,A273)</f>
        <v>0</v>
      </c>
      <c r="J273" s="3">
        <f t="shared" si="12"/>
        <v>0</v>
      </c>
      <c r="K273" s="3">
        <f>SUMIF('Pagos de Cuotas'!C:C,A273,'Pagos de Cuotas'!F:F)</f>
        <v>0</v>
      </c>
      <c r="L273" s="3">
        <f t="shared" si="13"/>
        <v>0</v>
      </c>
      <c r="M273" s="3" t="str">
        <f t="shared" si="14"/>
        <v>Finalizada</v>
      </c>
    </row>
    <row r="274" spans="9:13" x14ac:dyDescent="0.3">
      <c r="I274" s="3">
        <f>COUNTIF('Pagos de Cuotas'!C:C,A274)</f>
        <v>0</v>
      </c>
      <c r="J274" s="3">
        <f t="shared" si="12"/>
        <v>0</v>
      </c>
      <c r="K274" s="3">
        <f>SUMIF('Pagos de Cuotas'!C:C,A274,'Pagos de Cuotas'!F:F)</f>
        <v>0</v>
      </c>
      <c r="L274" s="3">
        <f t="shared" si="13"/>
        <v>0</v>
      </c>
      <c r="M274" s="3" t="str">
        <f t="shared" si="14"/>
        <v>Finalizada</v>
      </c>
    </row>
    <row r="275" spans="9:13" x14ac:dyDescent="0.3">
      <c r="I275" s="3">
        <f>COUNTIF('Pagos de Cuotas'!C:C,A275)</f>
        <v>0</v>
      </c>
      <c r="J275" s="3">
        <f t="shared" si="12"/>
        <v>0</v>
      </c>
      <c r="K275" s="3">
        <f>SUMIF('Pagos de Cuotas'!C:C,A275,'Pagos de Cuotas'!F:F)</f>
        <v>0</v>
      </c>
      <c r="L275" s="3">
        <f t="shared" si="13"/>
        <v>0</v>
      </c>
      <c r="M275" s="3" t="str">
        <f t="shared" si="14"/>
        <v>Finalizada</v>
      </c>
    </row>
    <row r="276" spans="9:13" x14ac:dyDescent="0.3">
      <c r="I276" s="3">
        <f>COUNTIF('Pagos de Cuotas'!C:C,A276)</f>
        <v>0</v>
      </c>
      <c r="J276" s="3">
        <f t="shared" si="12"/>
        <v>0</v>
      </c>
      <c r="K276" s="3">
        <f>SUMIF('Pagos de Cuotas'!C:C,A276,'Pagos de Cuotas'!F:F)</f>
        <v>0</v>
      </c>
      <c r="L276" s="3">
        <f t="shared" si="13"/>
        <v>0</v>
      </c>
      <c r="M276" s="3" t="str">
        <f t="shared" si="14"/>
        <v>Finalizada</v>
      </c>
    </row>
    <row r="277" spans="9:13" x14ac:dyDescent="0.3">
      <c r="I277" s="3">
        <f>COUNTIF('Pagos de Cuotas'!C:C,A277)</f>
        <v>0</v>
      </c>
      <c r="J277" s="3">
        <f t="shared" si="12"/>
        <v>0</v>
      </c>
      <c r="K277" s="3">
        <f>SUMIF('Pagos de Cuotas'!C:C,A277,'Pagos de Cuotas'!F:F)</f>
        <v>0</v>
      </c>
      <c r="L277" s="3">
        <f t="shared" si="13"/>
        <v>0</v>
      </c>
      <c r="M277" s="3" t="str">
        <f t="shared" si="14"/>
        <v>Finalizada</v>
      </c>
    </row>
    <row r="278" spans="9:13" x14ac:dyDescent="0.3">
      <c r="I278" s="3">
        <f>COUNTIF('Pagos de Cuotas'!C:C,A278)</f>
        <v>0</v>
      </c>
      <c r="J278" s="3">
        <f t="shared" si="12"/>
        <v>0</v>
      </c>
      <c r="K278" s="3">
        <f>SUMIF('Pagos de Cuotas'!C:C,A278,'Pagos de Cuotas'!F:F)</f>
        <v>0</v>
      </c>
      <c r="L278" s="3">
        <f t="shared" si="13"/>
        <v>0</v>
      </c>
      <c r="M278" s="3" t="str">
        <f t="shared" si="14"/>
        <v>Finalizada</v>
      </c>
    </row>
    <row r="279" spans="9:13" x14ac:dyDescent="0.3">
      <c r="I279" s="3">
        <f>COUNTIF('Pagos de Cuotas'!C:C,A279)</f>
        <v>0</v>
      </c>
      <c r="J279" s="3">
        <f t="shared" si="12"/>
        <v>0</v>
      </c>
      <c r="K279" s="3">
        <f>SUMIF('Pagos de Cuotas'!C:C,A279,'Pagos de Cuotas'!F:F)</f>
        <v>0</v>
      </c>
      <c r="L279" s="3">
        <f t="shared" si="13"/>
        <v>0</v>
      </c>
      <c r="M279" s="3" t="str">
        <f t="shared" si="14"/>
        <v>Finalizada</v>
      </c>
    </row>
    <row r="280" spans="9:13" x14ac:dyDescent="0.3">
      <c r="I280" s="3">
        <f>COUNTIF('Pagos de Cuotas'!C:C,A280)</f>
        <v>0</v>
      </c>
      <c r="J280" s="3">
        <f t="shared" si="12"/>
        <v>0</v>
      </c>
      <c r="K280" s="3">
        <f>SUMIF('Pagos de Cuotas'!C:C,A280,'Pagos de Cuotas'!F:F)</f>
        <v>0</v>
      </c>
      <c r="L280" s="3">
        <f t="shared" si="13"/>
        <v>0</v>
      </c>
      <c r="M280" s="3" t="str">
        <f t="shared" si="14"/>
        <v>Finalizada</v>
      </c>
    </row>
    <row r="281" spans="9:13" x14ac:dyDescent="0.3">
      <c r="I281" s="3">
        <f>COUNTIF('Pagos de Cuotas'!C:C,A281)</f>
        <v>0</v>
      </c>
      <c r="J281" s="3">
        <f t="shared" si="12"/>
        <v>0</v>
      </c>
      <c r="K281" s="3">
        <f>SUMIF('Pagos de Cuotas'!C:C,A281,'Pagos de Cuotas'!F:F)</f>
        <v>0</v>
      </c>
      <c r="L281" s="3">
        <f t="shared" si="13"/>
        <v>0</v>
      </c>
      <c r="M281" s="3" t="str">
        <f t="shared" si="14"/>
        <v>Finalizada</v>
      </c>
    </row>
    <row r="282" spans="9:13" x14ac:dyDescent="0.3">
      <c r="I282" s="3">
        <f>COUNTIF('Pagos de Cuotas'!C:C,A282)</f>
        <v>0</v>
      </c>
      <c r="J282" s="3">
        <f t="shared" si="12"/>
        <v>0</v>
      </c>
      <c r="K282" s="3">
        <f>SUMIF('Pagos de Cuotas'!C:C,A282,'Pagos de Cuotas'!F:F)</f>
        <v>0</v>
      </c>
      <c r="L282" s="3">
        <f t="shared" si="13"/>
        <v>0</v>
      </c>
      <c r="M282" s="3" t="str">
        <f t="shared" si="14"/>
        <v>Finalizada</v>
      </c>
    </row>
    <row r="283" spans="9:13" x14ac:dyDescent="0.3">
      <c r="I283" s="3">
        <f>COUNTIF('Pagos de Cuotas'!C:C,A283)</f>
        <v>0</v>
      </c>
      <c r="J283" s="3">
        <f t="shared" si="12"/>
        <v>0</v>
      </c>
      <c r="K283" s="3">
        <f>SUMIF('Pagos de Cuotas'!C:C,A283,'Pagos de Cuotas'!F:F)</f>
        <v>0</v>
      </c>
      <c r="L283" s="3">
        <f t="shared" si="13"/>
        <v>0</v>
      </c>
      <c r="M283" s="3" t="str">
        <f t="shared" si="14"/>
        <v>Finalizada</v>
      </c>
    </row>
    <row r="284" spans="9:13" x14ac:dyDescent="0.3">
      <c r="I284" s="3">
        <f>COUNTIF('Pagos de Cuotas'!C:C,A284)</f>
        <v>0</v>
      </c>
      <c r="J284" s="3">
        <f t="shared" si="12"/>
        <v>0</v>
      </c>
      <c r="K284" s="3">
        <f>SUMIF('Pagos de Cuotas'!C:C,A284,'Pagos de Cuotas'!F:F)</f>
        <v>0</v>
      </c>
      <c r="L284" s="3">
        <f t="shared" si="13"/>
        <v>0</v>
      </c>
      <c r="M284" s="3" t="str">
        <f t="shared" si="14"/>
        <v>Finalizada</v>
      </c>
    </row>
    <row r="285" spans="9:13" x14ac:dyDescent="0.3">
      <c r="I285" s="3">
        <f>COUNTIF('Pagos de Cuotas'!C:C,A285)</f>
        <v>0</v>
      </c>
      <c r="J285" s="3">
        <f t="shared" si="12"/>
        <v>0</v>
      </c>
      <c r="K285" s="3">
        <f>SUMIF('Pagos de Cuotas'!C:C,A285,'Pagos de Cuotas'!F:F)</f>
        <v>0</v>
      </c>
      <c r="L285" s="3">
        <f t="shared" si="13"/>
        <v>0</v>
      </c>
      <c r="M285" s="3" t="str">
        <f t="shared" si="14"/>
        <v>Finalizada</v>
      </c>
    </row>
    <row r="286" spans="9:13" x14ac:dyDescent="0.3">
      <c r="I286" s="3">
        <f>COUNTIF('Pagos de Cuotas'!C:C,A286)</f>
        <v>0</v>
      </c>
      <c r="J286" s="3">
        <f t="shared" si="12"/>
        <v>0</v>
      </c>
      <c r="K286" s="3">
        <f>SUMIF('Pagos de Cuotas'!C:C,A286,'Pagos de Cuotas'!F:F)</f>
        <v>0</v>
      </c>
      <c r="L286" s="3">
        <f t="shared" si="13"/>
        <v>0</v>
      </c>
      <c r="M286" s="3" t="str">
        <f t="shared" si="14"/>
        <v>Finalizada</v>
      </c>
    </row>
    <row r="287" spans="9:13" x14ac:dyDescent="0.3">
      <c r="I287" s="3">
        <f>COUNTIF('Pagos de Cuotas'!C:C,A287)</f>
        <v>0</v>
      </c>
      <c r="J287" s="3">
        <f t="shared" si="12"/>
        <v>0</v>
      </c>
      <c r="K287" s="3">
        <f>SUMIF('Pagos de Cuotas'!C:C,A287,'Pagos de Cuotas'!F:F)</f>
        <v>0</v>
      </c>
      <c r="L287" s="3">
        <f t="shared" si="13"/>
        <v>0</v>
      </c>
      <c r="M287" s="3" t="str">
        <f t="shared" si="14"/>
        <v>Finalizada</v>
      </c>
    </row>
    <row r="288" spans="9:13" x14ac:dyDescent="0.3">
      <c r="I288" s="3">
        <f>COUNTIF('Pagos de Cuotas'!C:C,A288)</f>
        <v>0</v>
      </c>
      <c r="J288" s="3">
        <f t="shared" si="12"/>
        <v>0</v>
      </c>
      <c r="K288" s="3">
        <f>SUMIF('Pagos de Cuotas'!C:C,A288,'Pagos de Cuotas'!F:F)</f>
        <v>0</v>
      </c>
      <c r="L288" s="3">
        <f t="shared" si="13"/>
        <v>0</v>
      </c>
      <c r="M288" s="3" t="str">
        <f t="shared" si="14"/>
        <v>Finalizada</v>
      </c>
    </row>
    <row r="289" spans="9:13" x14ac:dyDescent="0.3">
      <c r="I289" s="3">
        <f>COUNTIF('Pagos de Cuotas'!C:C,A289)</f>
        <v>0</v>
      </c>
      <c r="J289" s="3">
        <f t="shared" si="12"/>
        <v>0</v>
      </c>
      <c r="K289" s="3">
        <f>SUMIF('Pagos de Cuotas'!C:C,A289,'Pagos de Cuotas'!F:F)</f>
        <v>0</v>
      </c>
      <c r="L289" s="3">
        <f t="shared" si="13"/>
        <v>0</v>
      </c>
      <c r="M289" s="3" t="str">
        <f t="shared" si="14"/>
        <v>Finalizada</v>
      </c>
    </row>
    <row r="290" spans="9:13" x14ac:dyDescent="0.3">
      <c r="I290" s="3">
        <f>COUNTIF('Pagos de Cuotas'!C:C,A290)</f>
        <v>0</v>
      </c>
      <c r="J290" s="3">
        <f t="shared" si="12"/>
        <v>0</v>
      </c>
      <c r="K290" s="3">
        <f>SUMIF('Pagos de Cuotas'!C:C,A290,'Pagos de Cuotas'!F:F)</f>
        <v>0</v>
      </c>
      <c r="L290" s="3">
        <f t="shared" si="13"/>
        <v>0</v>
      </c>
      <c r="M290" s="3" t="str">
        <f t="shared" si="14"/>
        <v>Finalizada</v>
      </c>
    </row>
    <row r="291" spans="9:13" x14ac:dyDescent="0.3">
      <c r="I291" s="3">
        <f>COUNTIF('Pagos de Cuotas'!C:C,A291)</f>
        <v>0</v>
      </c>
      <c r="J291" s="3">
        <f t="shared" si="12"/>
        <v>0</v>
      </c>
      <c r="K291" s="3">
        <f>SUMIF('Pagos de Cuotas'!C:C,A291,'Pagos de Cuotas'!F:F)</f>
        <v>0</v>
      </c>
      <c r="L291" s="3">
        <f t="shared" si="13"/>
        <v>0</v>
      </c>
      <c r="M291" s="3" t="str">
        <f t="shared" si="14"/>
        <v>Finalizada</v>
      </c>
    </row>
    <row r="292" spans="9:13" x14ac:dyDescent="0.3">
      <c r="I292" s="3">
        <f>COUNTIF('Pagos de Cuotas'!C:C,A292)</f>
        <v>0</v>
      </c>
      <c r="J292" s="3">
        <f t="shared" si="12"/>
        <v>0</v>
      </c>
      <c r="K292" s="3">
        <f>SUMIF('Pagos de Cuotas'!C:C,A292,'Pagos de Cuotas'!F:F)</f>
        <v>0</v>
      </c>
      <c r="L292" s="3">
        <f t="shared" si="13"/>
        <v>0</v>
      </c>
      <c r="M292" s="3" t="str">
        <f t="shared" si="14"/>
        <v>Finalizada</v>
      </c>
    </row>
    <row r="293" spans="9:13" x14ac:dyDescent="0.3">
      <c r="I293" s="3">
        <f>COUNTIF('Pagos de Cuotas'!C:C,A293)</f>
        <v>0</v>
      </c>
      <c r="J293" s="3">
        <f t="shared" si="12"/>
        <v>0</v>
      </c>
      <c r="K293" s="3">
        <f>SUMIF('Pagos de Cuotas'!C:C,A293,'Pagos de Cuotas'!F:F)</f>
        <v>0</v>
      </c>
      <c r="L293" s="3">
        <f t="shared" si="13"/>
        <v>0</v>
      </c>
      <c r="M293" s="3" t="str">
        <f t="shared" si="14"/>
        <v>Finalizada</v>
      </c>
    </row>
    <row r="294" spans="9:13" x14ac:dyDescent="0.3">
      <c r="I294" s="3">
        <f>COUNTIF('Pagos de Cuotas'!C:C,A294)</f>
        <v>0</v>
      </c>
      <c r="J294" s="3">
        <f t="shared" si="12"/>
        <v>0</v>
      </c>
      <c r="K294" s="3">
        <f>SUMIF('Pagos de Cuotas'!C:C,A294,'Pagos de Cuotas'!F:F)</f>
        <v>0</v>
      </c>
      <c r="L294" s="3">
        <f t="shared" si="13"/>
        <v>0</v>
      </c>
      <c r="M294" s="3" t="str">
        <f t="shared" si="14"/>
        <v>Finalizada</v>
      </c>
    </row>
    <row r="295" spans="9:13" x14ac:dyDescent="0.3">
      <c r="I295" s="3">
        <f>COUNTIF('Pagos de Cuotas'!C:C,A295)</f>
        <v>0</v>
      </c>
      <c r="J295" s="3">
        <f t="shared" si="12"/>
        <v>0</v>
      </c>
      <c r="K295" s="3">
        <f>SUMIF('Pagos de Cuotas'!C:C,A295,'Pagos de Cuotas'!F:F)</f>
        <v>0</v>
      </c>
      <c r="L295" s="3">
        <f t="shared" si="13"/>
        <v>0</v>
      </c>
      <c r="M295" s="3" t="str">
        <f t="shared" si="14"/>
        <v>Finalizada</v>
      </c>
    </row>
    <row r="296" spans="9:13" x14ac:dyDescent="0.3">
      <c r="I296" s="3">
        <f>COUNTIF('Pagos de Cuotas'!C:C,A296)</f>
        <v>0</v>
      </c>
      <c r="J296" s="3">
        <f t="shared" si="12"/>
        <v>0</v>
      </c>
      <c r="K296" s="3">
        <f>SUMIF('Pagos de Cuotas'!C:C,A296,'Pagos de Cuotas'!F:F)</f>
        <v>0</v>
      </c>
      <c r="L296" s="3">
        <f t="shared" si="13"/>
        <v>0</v>
      </c>
      <c r="M296" s="3" t="str">
        <f t="shared" si="14"/>
        <v>Finalizada</v>
      </c>
    </row>
    <row r="297" spans="9:13" x14ac:dyDescent="0.3">
      <c r="I297" s="3">
        <f>COUNTIF('Pagos de Cuotas'!C:C,A297)</f>
        <v>0</v>
      </c>
      <c r="J297" s="3">
        <f t="shared" si="12"/>
        <v>0</v>
      </c>
      <c r="K297" s="3">
        <f>SUMIF('Pagos de Cuotas'!C:C,A297,'Pagos de Cuotas'!F:F)</f>
        <v>0</v>
      </c>
      <c r="L297" s="3">
        <f t="shared" si="13"/>
        <v>0</v>
      </c>
      <c r="M297" s="3" t="str">
        <f t="shared" si="14"/>
        <v>Finalizada</v>
      </c>
    </row>
    <row r="298" spans="9:13" x14ac:dyDescent="0.3">
      <c r="I298" s="3">
        <f>COUNTIF('Pagos de Cuotas'!C:C,A298)</f>
        <v>0</v>
      </c>
      <c r="J298" s="3">
        <f t="shared" si="12"/>
        <v>0</v>
      </c>
      <c r="K298" s="3">
        <f>SUMIF('Pagos de Cuotas'!C:C,A298,'Pagos de Cuotas'!F:F)</f>
        <v>0</v>
      </c>
      <c r="L298" s="3">
        <f t="shared" si="13"/>
        <v>0</v>
      </c>
      <c r="M298" s="3" t="str">
        <f t="shared" si="14"/>
        <v>Finalizada</v>
      </c>
    </row>
    <row r="299" spans="9:13" x14ac:dyDescent="0.3">
      <c r="I299" s="3">
        <f>COUNTIF('Pagos de Cuotas'!C:C,A299)</f>
        <v>0</v>
      </c>
      <c r="J299" s="3">
        <f t="shared" si="12"/>
        <v>0</v>
      </c>
      <c r="K299" s="3">
        <f>SUMIF('Pagos de Cuotas'!C:C,A299,'Pagos de Cuotas'!F:F)</f>
        <v>0</v>
      </c>
      <c r="L299" s="3">
        <f t="shared" si="13"/>
        <v>0</v>
      </c>
      <c r="M299" s="3" t="str">
        <f t="shared" si="14"/>
        <v>Finalizada</v>
      </c>
    </row>
    <row r="300" spans="9:13" x14ac:dyDescent="0.3">
      <c r="I300" s="3">
        <f>COUNTIF('Pagos de Cuotas'!C:C,A300)</f>
        <v>0</v>
      </c>
      <c r="J300" s="3">
        <f t="shared" si="12"/>
        <v>0</v>
      </c>
      <c r="K300" s="3">
        <f>SUMIF('Pagos de Cuotas'!C:C,A300,'Pagos de Cuotas'!F:F)</f>
        <v>0</v>
      </c>
      <c r="L300" s="3">
        <f t="shared" si="13"/>
        <v>0</v>
      </c>
      <c r="M300" s="3" t="str">
        <f t="shared" si="14"/>
        <v>Finalizada</v>
      </c>
    </row>
    <row r="301" spans="9:13" x14ac:dyDescent="0.3">
      <c r="I301" s="3">
        <f>COUNTIF('Pagos de Cuotas'!C:C,A301)</f>
        <v>0</v>
      </c>
      <c r="J301" s="3">
        <f t="shared" si="12"/>
        <v>0</v>
      </c>
      <c r="K301" s="3">
        <f>SUMIF('Pagos de Cuotas'!C:C,A301,'Pagos de Cuotas'!F:F)</f>
        <v>0</v>
      </c>
      <c r="L301" s="3">
        <f t="shared" si="13"/>
        <v>0</v>
      </c>
      <c r="M301" s="3" t="str">
        <f t="shared" si="14"/>
        <v>Finalizada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selection activeCell="D29" sqref="D29"/>
    </sheetView>
  </sheetViews>
  <sheetFormatPr baseColWidth="10" defaultColWidth="8.88671875" defaultRowHeight="14.4" x14ac:dyDescent="0.3"/>
  <cols>
    <col min="2" max="2" width="10.21875" bestFit="1" customWidth="1"/>
    <col min="6" max="6" width="12.77734375" style="3" bestFit="1" customWidth="1"/>
    <col min="7" max="7" width="12.6640625" bestFit="1" customWidth="1"/>
    <col min="8" max="8" width="13.21875" bestFit="1" customWidth="1"/>
  </cols>
  <sheetData>
    <row r="1" spans="1:8" x14ac:dyDescent="0.3">
      <c r="A1" s="1" t="s">
        <v>8</v>
      </c>
      <c r="B1" s="1" t="s">
        <v>9</v>
      </c>
      <c r="C1" s="1" t="s">
        <v>14</v>
      </c>
      <c r="D1" s="1" t="s">
        <v>15</v>
      </c>
      <c r="E1" s="1" t="s">
        <v>27</v>
      </c>
      <c r="F1" s="2" t="s">
        <v>28</v>
      </c>
      <c r="G1" s="1" t="s">
        <v>29</v>
      </c>
      <c r="H1" s="1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="115" zoomScaleNormal="115" workbookViewId="0">
      <selection activeCell="E4" sqref="E4"/>
    </sheetView>
  </sheetViews>
  <sheetFormatPr baseColWidth="10" defaultColWidth="8.88671875" defaultRowHeight="14.4" x14ac:dyDescent="0.3"/>
  <cols>
    <col min="3" max="3" width="11.5546875" bestFit="1" customWidth="1"/>
    <col min="4" max="4" width="10.44140625" customWidth="1"/>
    <col min="5" max="5" width="12.21875" customWidth="1"/>
    <col min="6" max="6" width="14.5546875" style="3" bestFit="1" customWidth="1"/>
  </cols>
  <sheetData>
    <row r="1" spans="1:6" x14ac:dyDescent="0.3">
      <c r="A1" s="8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21" t="s">
        <v>1</v>
      </c>
    </row>
    <row r="2" spans="1:6" x14ac:dyDescent="0.3">
      <c r="A2" s="11"/>
      <c r="B2" s="12" t="s">
        <v>40</v>
      </c>
      <c r="C2" s="12" t="s">
        <v>57</v>
      </c>
      <c r="D2" s="12"/>
      <c r="E2" s="12"/>
      <c r="F2" s="22">
        <v>5000000</v>
      </c>
    </row>
    <row r="3" spans="1:6" x14ac:dyDescent="0.3">
      <c r="A3" s="11"/>
      <c r="B3" s="12" t="s">
        <v>41</v>
      </c>
      <c r="C3" s="12" t="s">
        <v>58</v>
      </c>
      <c r="D3" s="12"/>
      <c r="E3" s="12"/>
      <c r="F3" s="22">
        <v>1800000</v>
      </c>
    </row>
    <row r="4" spans="1:6" x14ac:dyDescent="0.3">
      <c r="A4" s="11"/>
      <c r="B4" s="12" t="s">
        <v>41</v>
      </c>
      <c r="C4" s="12" t="s">
        <v>59</v>
      </c>
      <c r="D4" s="12"/>
      <c r="E4" s="12"/>
      <c r="F4" s="22">
        <v>2600000</v>
      </c>
    </row>
    <row r="5" spans="1:6" x14ac:dyDescent="0.3">
      <c r="A5" s="11"/>
      <c r="B5" s="12" t="s">
        <v>42</v>
      </c>
      <c r="C5" s="12" t="s">
        <v>58</v>
      </c>
      <c r="D5" s="12"/>
      <c r="E5" s="13"/>
      <c r="F5" s="22">
        <v>1800000</v>
      </c>
    </row>
    <row r="6" spans="1:6" x14ac:dyDescent="0.3">
      <c r="A6" s="11"/>
      <c r="B6" s="12" t="s">
        <v>43</v>
      </c>
      <c r="C6" s="12" t="s">
        <v>58</v>
      </c>
      <c r="D6" s="12"/>
      <c r="E6" s="13"/>
      <c r="F6" s="22">
        <v>1800000</v>
      </c>
    </row>
    <row r="7" spans="1:6" x14ac:dyDescent="0.3">
      <c r="A7" s="11"/>
      <c r="B7" s="12"/>
      <c r="C7" s="12"/>
      <c r="D7" s="12"/>
      <c r="E7" s="13"/>
      <c r="F7" s="22"/>
    </row>
    <row r="8" spans="1:6" x14ac:dyDescent="0.3">
      <c r="A8" s="15"/>
      <c r="B8" s="16"/>
      <c r="C8" s="16"/>
      <c r="D8" s="16"/>
      <c r="E8" s="17"/>
      <c r="F8" s="23"/>
    </row>
    <row r="9" spans="1:6" x14ac:dyDescent="0.3">
      <c r="B9" s="19"/>
      <c r="C9" s="19"/>
      <c r="D9" s="19"/>
      <c r="E9" s="20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zoomScale="175" zoomScaleNormal="175" workbookViewId="0">
      <selection activeCell="C5" sqref="C5"/>
    </sheetView>
  </sheetViews>
  <sheetFormatPr baseColWidth="10" defaultColWidth="8.88671875" defaultRowHeight="14.4" x14ac:dyDescent="0.3"/>
  <cols>
    <col min="2" max="2" width="10.21875" bestFit="1" customWidth="1"/>
    <col min="3" max="3" width="15.88671875" bestFit="1" customWidth="1"/>
    <col min="4" max="4" width="11.33203125" customWidth="1"/>
    <col min="5" max="5" width="14.33203125" bestFit="1" customWidth="1"/>
    <col min="6" max="6" width="16.44140625" customWidth="1"/>
    <col min="7" max="7" width="10.109375" customWidth="1"/>
  </cols>
  <sheetData>
    <row r="1" spans="1:7" x14ac:dyDescent="0.3">
      <c r="A1" s="8" t="s">
        <v>8</v>
      </c>
      <c r="B1" s="9" t="s">
        <v>9</v>
      </c>
      <c r="C1" s="9" t="s">
        <v>11</v>
      </c>
      <c r="D1" s="9" t="s">
        <v>12</v>
      </c>
      <c r="E1" s="9" t="s">
        <v>1</v>
      </c>
      <c r="F1" s="9" t="s">
        <v>13</v>
      </c>
      <c r="G1" s="10" t="s">
        <v>62</v>
      </c>
    </row>
    <row r="2" spans="1:7" x14ac:dyDescent="0.3">
      <c r="A2" s="11"/>
      <c r="B2" s="12" t="s">
        <v>40</v>
      </c>
      <c r="C2" s="12" t="s">
        <v>48</v>
      </c>
      <c r="D2" s="12"/>
      <c r="E2" s="13">
        <v>2600000</v>
      </c>
      <c r="F2" s="12"/>
      <c r="G2" s="14"/>
    </row>
    <row r="3" spans="1:7" x14ac:dyDescent="0.3">
      <c r="A3" s="11"/>
      <c r="B3" s="12" t="s">
        <v>40</v>
      </c>
      <c r="C3" s="12" t="s">
        <v>50</v>
      </c>
      <c r="D3" s="12"/>
      <c r="E3" s="13">
        <v>210000</v>
      </c>
      <c r="F3" s="12"/>
      <c r="G3" s="14"/>
    </row>
    <row r="4" spans="1:7" x14ac:dyDescent="0.3">
      <c r="A4" s="11"/>
      <c r="B4" s="12" t="s">
        <v>40</v>
      </c>
      <c r="C4" s="12" t="s">
        <v>51</v>
      </c>
      <c r="D4" s="12"/>
      <c r="E4" s="13">
        <f>128000+230000</f>
        <v>358000</v>
      </c>
      <c r="F4" s="12"/>
      <c r="G4" s="14"/>
    </row>
    <row r="5" spans="1:7" x14ac:dyDescent="0.3">
      <c r="A5" s="11"/>
      <c r="B5" s="12" t="s">
        <v>40</v>
      </c>
      <c r="C5" s="12" t="s">
        <v>52</v>
      </c>
      <c r="D5" s="12"/>
      <c r="E5" s="13">
        <v>50000</v>
      </c>
      <c r="F5" s="12"/>
      <c r="G5" s="14"/>
    </row>
    <row r="6" spans="1:7" x14ac:dyDescent="0.3">
      <c r="A6" s="11"/>
      <c r="B6" s="12" t="s">
        <v>41</v>
      </c>
      <c r="C6" s="12" t="s">
        <v>46</v>
      </c>
      <c r="D6" s="12"/>
      <c r="E6" s="13">
        <v>400000</v>
      </c>
      <c r="F6" s="12"/>
      <c r="G6" s="14"/>
    </row>
    <row r="7" spans="1:7" x14ac:dyDescent="0.3">
      <c r="A7" s="11"/>
      <c r="B7" s="12" t="s">
        <v>41</v>
      </c>
      <c r="C7" s="12" t="s">
        <v>47</v>
      </c>
      <c r="D7" s="12"/>
      <c r="E7" s="13">
        <v>360000</v>
      </c>
      <c r="F7" s="12"/>
      <c r="G7" s="14"/>
    </row>
    <row r="8" spans="1:7" x14ac:dyDescent="0.3">
      <c r="A8" s="11"/>
      <c r="B8" s="12" t="s">
        <v>41</v>
      </c>
      <c r="C8" s="12" t="s">
        <v>53</v>
      </c>
      <c r="D8" s="12"/>
      <c r="E8" s="13">
        <v>300000</v>
      </c>
      <c r="F8" s="12"/>
      <c r="G8" s="14"/>
    </row>
    <row r="9" spans="1:7" x14ac:dyDescent="0.3">
      <c r="A9" s="11"/>
      <c r="B9" s="12" t="s">
        <v>41</v>
      </c>
      <c r="C9" s="12" t="s">
        <v>56</v>
      </c>
      <c r="D9" s="12"/>
      <c r="E9" s="13">
        <v>155000</v>
      </c>
      <c r="F9" s="12"/>
      <c r="G9" s="14"/>
    </row>
    <row r="10" spans="1:7" x14ac:dyDescent="0.3">
      <c r="A10" s="11"/>
      <c r="B10" s="12" t="s">
        <v>41</v>
      </c>
      <c r="C10" s="12" t="s">
        <v>49</v>
      </c>
      <c r="D10" s="12"/>
      <c r="E10" s="13">
        <v>600000</v>
      </c>
      <c r="F10" s="12"/>
      <c r="G10" s="14"/>
    </row>
    <row r="11" spans="1:7" x14ac:dyDescent="0.3">
      <c r="A11" s="11"/>
      <c r="B11" s="12" t="s">
        <v>41</v>
      </c>
      <c r="C11" s="12" t="s">
        <v>54</v>
      </c>
      <c r="D11" s="12"/>
      <c r="E11" s="13">
        <v>600000</v>
      </c>
      <c r="F11" s="12"/>
      <c r="G11" s="14"/>
    </row>
    <row r="12" spans="1:7" x14ac:dyDescent="0.3">
      <c r="A12" s="11"/>
      <c r="B12" s="12" t="s">
        <v>41</v>
      </c>
      <c r="C12" s="12" t="s">
        <v>60</v>
      </c>
      <c r="D12" s="12"/>
      <c r="E12" s="13">
        <v>800000</v>
      </c>
      <c r="F12" s="12"/>
      <c r="G12" s="14"/>
    </row>
    <row r="13" spans="1:7" x14ac:dyDescent="0.3">
      <c r="A13" s="11"/>
      <c r="B13" s="12" t="s">
        <v>42</v>
      </c>
      <c r="C13" s="12" t="s">
        <v>55</v>
      </c>
      <c r="D13" s="12"/>
      <c r="E13" s="13">
        <f>400000+800000</f>
        <v>1200000</v>
      </c>
      <c r="F13" s="12"/>
      <c r="G13" s="14"/>
    </row>
    <row r="14" spans="1:7" x14ac:dyDescent="0.3">
      <c r="A14" s="11"/>
      <c r="B14" s="12" t="s">
        <v>42</v>
      </c>
      <c r="C14" s="12" t="s">
        <v>61</v>
      </c>
      <c r="D14" s="12"/>
      <c r="E14" s="13">
        <v>600000</v>
      </c>
      <c r="F14" s="12"/>
      <c r="G14" s="14"/>
    </row>
    <row r="15" spans="1:7" x14ac:dyDescent="0.3">
      <c r="A15" s="15"/>
      <c r="B15" s="16" t="s">
        <v>43</v>
      </c>
      <c r="C15" s="16" t="s">
        <v>55</v>
      </c>
      <c r="D15" s="16"/>
      <c r="E15" s="17">
        <f>400000+800000</f>
        <v>1200000</v>
      </c>
      <c r="F15" s="16"/>
      <c r="G15" s="18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tabSelected="1" zoomScale="175" zoomScaleNormal="175" workbookViewId="0">
      <selection activeCell="D17" sqref="D17"/>
    </sheetView>
  </sheetViews>
  <sheetFormatPr baseColWidth="10" defaultColWidth="8.88671875" defaultRowHeight="14.4" x14ac:dyDescent="0.3"/>
  <cols>
    <col min="1" max="1" width="11.6640625" style="3" bestFit="1" customWidth="1"/>
    <col min="2" max="2" width="15.33203125" style="3" customWidth="1"/>
    <col min="3" max="4" width="14.33203125" style="3" bestFit="1" customWidth="1"/>
    <col min="5" max="5" width="24.5546875" style="3" customWidth="1"/>
  </cols>
  <sheetData>
    <row r="1" spans="1:5" x14ac:dyDescent="0.3">
      <c r="A1" s="2" t="s">
        <v>9</v>
      </c>
      <c r="B1" s="2" t="s">
        <v>31</v>
      </c>
      <c r="C1" s="2" t="s">
        <v>32</v>
      </c>
      <c r="D1" s="2" t="s">
        <v>33</v>
      </c>
      <c r="E1" s="2" t="s">
        <v>4</v>
      </c>
    </row>
    <row r="2" spans="1:5" x14ac:dyDescent="0.3">
      <c r="A2" s="3" t="s">
        <v>34</v>
      </c>
      <c r="B2" s="3">
        <f>SUMIF(Ingresos!B:B,A2,Ingresos!F:F)</f>
        <v>0</v>
      </c>
      <c r="C2" s="3">
        <f>SUMIF(Gastos!B:B,A2,Gastos!E:E)</f>
        <v>0</v>
      </c>
      <c r="D2" s="3">
        <f t="shared" ref="D2:D13" si="0">B2-C2</f>
        <v>0</v>
      </c>
      <c r="E2" s="3">
        <f>D2</f>
        <v>0</v>
      </c>
    </row>
    <row r="3" spans="1:5" x14ac:dyDescent="0.3">
      <c r="A3" s="3" t="s">
        <v>35</v>
      </c>
      <c r="B3" s="3">
        <f>SUMIF(Ingresos!B:B,A3,Ingresos!F:F)</f>
        <v>0</v>
      </c>
      <c r="C3" s="3">
        <f>SUMIF(Gastos!B:B,A3,Gastos!E:E)</f>
        <v>0</v>
      </c>
      <c r="D3" s="3">
        <f t="shared" si="0"/>
        <v>0</v>
      </c>
      <c r="E3" s="3">
        <f t="shared" ref="E3:E13" si="1">E2+D3</f>
        <v>0</v>
      </c>
    </row>
    <row r="4" spans="1:5" x14ac:dyDescent="0.3">
      <c r="A4" s="3" t="s">
        <v>36</v>
      </c>
      <c r="B4" s="3">
        <f>SUMIF(Ingresos!B:B,A4,Ingresos!F:F)</f>
        <v>0</v>
      </c>
      <c r="C4" s="3">
        <f>SUMIF(Gastos!B:B,A4,Gastos!E:E)</f>
        <v>0</v>
      </c>
      <c r="D4" s="3">
        <f t="shared" si="0"/>
        <v>0</v>
      </c>
      <c r="E4" s="3">
        <f t="shared" si="1"/>
        <v>0</v>
      </c>
    </row>
    <row r="5" spans="1:5" x14ac:dyDescent="0.3">
      <c r="A5" s="3" t="s">
        <v>37</v>
      </c>
      <c r="B5" s="3">
        <f>SUMIF(Ingresos!B:B,A5,Ingresos!F:F)</f>
        <v>0</v>
      </c>
      <c r="C5" s="3">
        <f>SUMIF(Gastos!B:B,A5,Gastos!E:E)</f>
        <v>0</v>
      </c>
      <c r="D5" s="3">
        <f t="shared" si="0"/>
        <v>0</v>
      </c>
      <c r="E5" s="3">
        <f t="shared" si="1"/>
        <v>0</v>
      </c>
    </row>
    <row r="6" spans="1:5" x14ac:dyDescent="0.3">
      <c r="A6" s="3" t="s">
        <v>38</v>
      </c>
      <c r="B6" s="3">
        <f>SUMIF(Ingresos!B:B,A6,Ingresos!F:F)</f>
        <v>0</v>
      </c>
      <c r="C6" s="3">
        <f>SUMIF(Gastos!B:B,A6,Gastos!E:E)</f>
        <v>0</v>
      </c>
      <c r="D6" s="3">
        <f t="shared" si="0"/>
        <v>0</v>
      </c>
      <c r="E6" s="3">
        <f t="shared" si="1"/>
        <v>0</v>
      </c>
    </row>
    <row r="7" spans="1:5" x14ac:dyDescent="0.3">
      <c r="A7" s="3" t="s">
        <v>39</v>
      </c>
      <c r="B7" s="3">
        <f>SUMIF(Ingresos!B:B,A7,Ingresos!F:F)</f>
        <v>0</v>
      </c>
      <c r="C7" s="3">
        <f>SUMIF(Gastos!B:B,A7,Gastos!E:E)</f>
        <v>0</v>
      </c>
      <c r="D7" s="3">
        <f t="shared" si="0"/>
        <v>0</v>
      </c>
      <c r="E7" s="3">
        <f t="shared" si="1"/>
        <v>0</v>
      </c>
    </row>
    <row r="8" spans="1:5" x14ac:dyDescent="0.3">
      <c r="A8" s="3" t="s">
        <v>40</v>
      </c>
      <c r="B8" s="3">
        <f>SUMIF(Ingresos!B:B,A8,Ingresos!F:F)</f>
        <v>5000000</v>
      </c>
      <c r="C8" s="3">
        <f>SUMIF(Gastos!B:B,A8,Gastos!E:E)</f>
        <v>3218000</v>
      </c>
      <c r="D8" s="3">
        <f>B8-C8</f>
        <v>1782000</v>
      </c>
      <c r="E8" s="3">
        <f>E7+D8</f>
        <v>1782000</v>
      </c>
    </row>
    <row r="9" spans="1:5" x14ac:dyDescent="0.3">
      <c r="A9" s="3" t="s">
        <v>41</v>
      </c>
      <c r="B9" s="3">
        <f>SUMIF(Ingresos!B:B,A9,Ingresos!F:F)</f>
        <v>4400000</v>
      </c>
      <c r="C9" s="3">
        <f>SUMIF(Gastos!B:B,A9,Gastos!E:E)</f>
        <v>3215000</v>
      </c>
      <c r="D9" s="3">
        <f t="shared" si="0"/>
        <v>1185000</v>
      </c>
      <c r="E9" s="3">
        <f>E8+D9</f>
        <v>2967000</v>
      </c>
    </row>
    <row r="10" spans="1:5" x14ac:dyDescent="0.3">
      <c r="A10" s="3" t="s">
        <v>42</v>
      </c>
      <c r="B10" s="3">
        <f>SUMIF(Ingresos!B:B,A10,Ingresos!F:F)</f>
        <v>1800000</v>
      </c>
      <c r="C10" s="3">
        <f>SUMIF(Gastos!B:B,A10,Gastos!E:E)</f>
        <v>1800000</v>
      </c>
      <c r="D10" s="3">
        <f>B10-C10</f>
        <v>0</v>
      </c>
      <c r="E10" s="3">
        <f t="shared" si="1"/>
        <v>2967000</v>
      </c>
    </row>
    <row r="11" spans="1:5" x14ac:dyDescent="0.3">
      <c r="A11" s="3" t="s">
        <v>43</v>
      </c>
      <c r="B11" s="3">
        <f>SUMIF(Ingresos!B:B,A11,Ingresos!F:F)</f>
        <v>1800000</v>
      </c>
      <c r="C11" s="3">
        <f>SUMIF(Gastos!B:B,A11,Gastos!E:E)</f>
        <v>1200000</v>
      </c>
      <c r="D11" s="3">
        <f t="shared" si="0"/>
        <v>600000</v>
      </c>
      <c r="E11" s="3">
        <f t="shared" si="1"/>
        <v>3567000</v>
      </c>
    </row>
    <row r="12" spans="1:5" x14ac:dyDescent="0.3">
      <c r="A12" s="3" t="s">
        <v>44</v>
      </c>
      <c r="B12" s="3">
        <f>SUMIF(Ingresos!B:B,A12,Ingresos!F:F)</f>
        <v>0</v>
      </c>
      <c r="C12" s="3">
        <f>SUMIF(Gastos!B:B,A12,Gastos!E:E)</f>
        <v>0</v>
      </c>
      <c r="D12" s="3">
        <f t="shared" si="0"/>
        <v>0</v>
      </c>
      <c r="E12" s="3">
        <f t="shared" si="1"/>
        <v>3567000</v>
      </c>
    </row>
    <row r="13" spans="1:5" x14ac:dyDescent="0.3">
      <c r="A13" s="3" t="s">
        <v>45</v>
      </c>
      <c r="B13" s="3">
        <f>SUMIF(Ingresos!B:B,A13,Ingresos!F:F)</f>
        <v>0</v>
      </c>
      <c r="C13" s="3">
        <f>SUMIF(Gastos!B:B,A13,Gastos!E:E)</f>
        <v>0</v>
      </c>
      <c r="D13" s="3">
        <f t="shared" si="0"/>
        <v>0</v>
      </c>
      <c r="E13" s="3">
        <f t="shared" si="1"/>
        <v>3567000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Control de Cuotas</vt:lpstr>
      <vt:lpstr>Pagos de Cuotas</vt:lpstr>
      <vt:lpstr>Ingresos</vt:lpstr>
      <vt:lpstr>Gastos</vt:lpstr>
      <vt:lpstr>Resumen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Muñoz</cp:lastModifiedBy>
  <dcterms:created xsi:type="dcterms:W3CDTF">2026-07-17T14:59:19Z</dcterms:created>
  <dcterms:modified xsi:type="dcterms:W3CDTF">2026-07-24T20:35:12Z</dcterms:modified>
</cp:coreProperties>
</file>